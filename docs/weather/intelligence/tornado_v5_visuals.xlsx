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s video (v5)" sheetId="1" state="visible" r:id="rId1"/>
    <sheet xmlns:r="http://schemas.openxmlformats.org/officeDocument/2006/relationships" name="All visuals" sheetId="2" state="visible" r:id="rId2"/>
  </sheets>
  <definedNames>
    <definedName name="_xlnm._FilterDatabase" localSheetId="0" hidden="1">'This video (v5)'!$A$40:$L$205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i val="1"/>
      <sz val="9"/>
    </font>
    <font>
      <name val="Arial"/>
      <color rgb="00FFFFFF"/>
    </font>
    <font>
      <name val="Arial"/>
      <color rgb="000000FF"/>
    </font>
  </fonts>
  <fills count="1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066"/>
      </patternFill>
    </fill>
    <fill>
      <patternFill patternType="solid">
        <fgColor rgb="00FFA94D"/>
      </patternFill>
    </fill>
    <fill>
      <patternFill patternType="solid">
        <fgColor rgb="00FF6B3D"/>
      </patternFill>
    </fill>
    <fill>
      <patternFill patternType="solid">
        <fgColor rgb="00FF0000"/>
      </patternFill>
    </fill>
    <fill>
      <patternFill patternType="solid">
        <fgColor rgb="00E8552B"/>
      </patternFill>
    </fill>
    <fill>
      <patternFill patternType="solid">
        <fgColor rgb="00D3122B"/>
      </patternFill>
    </fill>
    <fill>
      <patternFill patternType="solid">
        <fgColor rgb="00FFFFFF"/>
      </patternFill>
    </fill>
    <fill>
      <patternFill patternType="solid">
        <fgColor rgb="00111111"/>
      </patternFill>
    </fill>
    <fill>
      <patternFill patternType="solid"/>
    </fill>
    <fill>
      <patternFill patternType="solid">
        <fgColor rgb="00FFD43B"/>
      </patternFill>
    </fill>
    <fill>
      <patternFill patternType="solid">
        <fgColor rgb="00E8364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164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6" fillId="6" borderId="0" pivotButton="0" quotePrefix="0" xfId="0"/>
    <xf numFmtId="0" fontId="2" fillId="7" borderId="0" pivotButton="0" quotePrefix="0" xfId="0"/>
    <xf numFmtId="0" fontId="6" fillId="8" borderId="0" pivotButton="0" quotePrefix="0" xfId="0"/>
    <xf numFmtId="0" fontId="2" fillId="9" borderId="0" pivotButton="0" quotePrefix="0" xfId="0"/>
    <xf numFmtId="0" fontId="6" fillId="1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164" fontId="2" fillId="0" borderId="1" pivotButton="0" quotePrefix="0" xfId="0"/>
    <xf numFmtId="0" fontId="2" fillId="0" borderId="1" pivotButton="0" quotePrefix="0" xfId="0"/>
    <xf numFmtId="0" fontId="2" fillId="7" borderId="1" pivotButton="0" quotePrefix="0" xfId="0"/>
    <xf numFmtId="0" fontId="6" fillId="8" borderId="1" pivotButton="0" quotePrefix="0" xfId="0"/>
    <xf numFmtId="0" fontId="6" fillId="11" borderId="1" pivotButton="0" quotePrefix="0" xfId="0"/>
    <xf numFmtId="0" fontId="6" fillId="1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9" borderId="1" pivotButton="0" quotePrefix="0" xfId="0"/>
    <xf numFmtId="0" fontId="6" fillId="6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4" fillId="2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0" customWidth="1" min="3" max="3"/>
    <col width="18" customWidth="1" min="4" max="4"/>
    <col width="30" customWidth="1" min="5" max="5"/>
    <col width="70" customWidth="1" min="6" max="6"/>
    <col width="30" customWidth="1" min="7" max="7"/>
    <col width="11" customWidth="1" min="8" max="8"/>
    <col width="40" customWidth="1" min="9" max="9"/>
    <col width="34" customWidth="1" min="10" max="10"/>
    <col width="12" customWidth="1" min="11" max="11"/>
    <col width="12" customWidth="1" min="12" max="12"/>
    <col width="14" customWidth="1" min="13" max="13"/>
    <col width="11" customWidth="1" min="14" max="14"/>
  </cols>
  <sheetData>
    <row r="1">
      <c r="A1" s="1" t="inlineStr">
        <is>
          <t>Tornado video v5 — every visual on screen</t>
        </is>
      </c>
    </row>
    <row r="2">
      <c r="A2" s="2" t="inlineStr">
        <is>
          <t>Video: docs/weather/renders/tornado_intelligence_phase3_v5.mp4 · 546.2 s (9:06) · your recorded voiceover · no weather CSV. One row per drawn element (each tornado track line, each label chip, each camera move). Counts below are formulas over the table.</t>
        </is>
      </c>
    </row>
    <row r="4">
      <c r="A4" s="3" t="inlineStr">
        <is>
          <t>By family</t>
        </is>
      </c>
      <c r="E4" s="3" t="inlineStr">
        <is>
          <t>By visual type</t>
        </is>
      </c>
      <c r="I4" s="3" t="inlineStr">
        <is>
          <t>Map graphics by colour</t>
        </is>
      </c>
    </row>
    <row r="5">
      <c r="A5" s="4" t="inlineStr">
        <is>
          <t>Family</t>
        </is>
      </c>
      <c r="B5" s="4" t="inlineStr">
        <is>
          <t>Count</t>
        </is>
      </c>
      <c r="C5" s="4" t="inlineStr">
        <is>
          <t>Total on-screen (s)</t>
        </is>
      </c>
      <c r="E5" s="4" t="inlineStr">
        <is>
          <t>Visual</t>
        </is>
      </c>
      <c r="F5" s="4" t="inlineStr">
        <is>
          <t>Count</t>
        </is>
      </c>
      <c r="G5" s="4" t="inlineStr">
        <is>
          <t>Added by</t>
        </is>
      </c>
      <c r="I5" s="4" t="inlineStr">
        <is>
          <t>Colour</t>
        </is>
      </c>
      <c r="J5" s="4" t="inlineStr">
        <is>
          <t>Hex</t>
        </is>
      </c>
      <c r="K5" s="4" t="inlineStr">
        <is>
          <t>Track lines</t>
        </is>
      </c>
      <c r="L5" s="4" t="inlineStr">
        <is>
          <t>Label chips</t>
        </is>
      </c>
      <c r="M5" s="4" t="inlineStr">
        <is>
          <t>Warning shapes</t>
        </is>
      </c>
      <c r="N5" s="4" t="inlineStr">
        <is>
          <t>All visuals</t>
        </is>
      </c>
    </row>
    <row r="6">
      <c r="A6" s="2" t="inlineStr">
        <is>
          <t>Map data graphic</t>
        </is>
      </c>
      <c r="B6" s="2">
        <f>COUNTIF($D$41:$D$205,A6)</f>
        <v/>
      </c>
      <c r="C6" s="5">
        <f>SUMIF($D$41:$D$205,A6,$K$41:$K$205)</f>
        <v/>
      </c>
      <c r="E6" s="2" t="inlineStr">
        <is>
          <t>Camera start</t>
        </is>
      </c>
      <c r="F6" s="2">
        <f>COUNTIF($E$41:$E$205,E6)</f>
        <v/>
      </c>
      <c r="G6" s="2" t="inlineStr">
        <is>
          <t>Your plan</t>
        </is>
      </c>
      <c r="I6" s="6" t="inlineStr">
        <is>
          <t>Yellow (EF0 tornado track)</t>
        </is>
      </c>
      <c r="J6" s="2" t="inlineStr">
        <is>
          <t>#FFE066</t>
        </is>
      </c>
      <c r="K6" s="2">
        <f>COUNTIFS($H$41:$H$205,J6,$E$41:$E$205,"Tornado track line")</f>
        <v/>
      </c>
      <c r="L6" s="2">
        <f>COUNTIFS($H$41:$H$205,J6,$E$41:$E$205,"Track label chip")</f>
        <v/>
      </c>
      <c r="M6" s="2">
        <f>COUNTIFS($H$41:$H$205,J6,$D$41:$D$205,"Map data graphic",$E$41:$E$205,"Warning*")</f>
        <v/>
      </c>
      <c r="N6" s="2">
        <f>COUNTIF($H$41:$H$205,J6)</f>
        <v/>
      </c>
    </row>
    <row r="7">
      <c r="A7" s="2" t="inlineStr">
        <is>
          <t>Map loop</t>
        </is>
      </c>
      <c r="B7" s="2">
        <f>COUNTIF($D$41:$D$205,A7)</f>
        <v/>
      </c>
      <c r="C7" s="5">
        <f>SUMIF($D$41:$D$205,A7,$K$41:$K$205)</f>
        <v/>
      </c>
      <c r="E7" s="2" t="inlineStr">
        <is>
          <t>Place label (dot + name)</t>
        </is>
      </c>
      <c r="F7" s="2">
        <f>COUNTIF($E$41:$E$205,E7)</f>
        <v/>
      </c>
      <c r="G7" s="2" t="inlineStr">
        <is>
          <t>Engine (auto)</t>
        </is>
      </c>
      <c r="I7" s="7" t="inlineStr">
        <is>
          <t>Orange (EF1 tornado track)</t>
        </is>
      </c>
      <c r="J7" s="2" t="inlineStr">
        <is>
          <t>#FFA94D</t>
        </is>
      </c>
      <c r="K7" s="2">
        <f>COUNTIFS($H$41:$H$205,J7,$E$41:$E$205,"Tornado track line")</f>
        <v/>
      </c>
      <c r="L7" s="2">
        <f>COUNTIFS($H$41:$H$205,J7,$E$41:$E$205,"Track label chip")</f>
        <v/>
      </c>
      <c r="M7" s="2">
        <f>COUNTIFS($H$41:$H$205,J7,$D$41:$D$205,"Map data graphic",$E$41:$E$205,"Warning*")</f>
        <v/>
      </c>
      <c r="N7" s="2">
        <f>COUNTIF($H$41:$H$205,J7)</f>
        <v/>
      </c>
    </row>
    <row r="8">
      <c r="A8" s="2" t="inlineStr">
        <is>
          <t>Map label</t>
        </is>
      </c>
      <c r="B8" s="2">
        <f>COUNTIF($D$41:$D$205,A8)</f>
        <v/>
      </c>
      <c r="C8" s="5">
        <f>SUMIF($D$41:$D$205,A8,$K$41:$K$205)</f>
        <v/>
      </c>
      <c r="E8" s="2" t="inlineStr">
        <is>
          <t>Headline lower-third</t>
        </is>
      </c>
      <c r="F8" s="2">
        <f>COUNTIF($E$41:$E$205,E8)</f>
        <v/>
      </c>
      <c r="G8" s="2" t="inlineStr">
        <is>
          <t>Engine (auto)</t>
        </is>
      </c>
      <c r="I8" s="8" t="inlineStr">
        <is>
          <t>Red-orange (EF2 tornado track)</t>
        </is>
      </c>
      <c r="J8" s="2" t="inlineStr">
        <is>
          <t>#FF6B3D</t>
        </is>
      </c>
      <c r="K8" s="2">
        <f>COUNTIFS($H$41:$H$205,J8,$E$41:$E$205,"Tornado track line")</f>
        <v/>
      </c>
      <c r="L8" s="2">
        <f>COUNTIFS($H$41:$H$205,J8,$E$41:$E$205,"Track label chip")</f>
        <v/>
      </c>
      <c r="M8" s="2">
        <f>COUNTIFS($H$41:$H$205,J8,$D$41:$D$205,"Map data graphic",$E$41:$E$205,"Warning*")</f>
        <v/>
      </c>
      <c r="N8" s="2">
        <f>COUNTIF($H$41:$H$205,J8)</f>
        <v/>
      </c>
    </row>
    <row r="9">
      <c r="A9" s="2" t="inlineStr">
        <is>
          <t>Legend / key</t>
        </is>
      </c>
      <c r="B9" s="2">
        <f>COUNTIF($D$41:$D$205,A9)</f>
        <v/>
      </c>
      <c r="C9" s="5">
        <f>SUMIF($D$41:$D$205,A9,$K$41:$K$205)</f>
        <v/>
      </c>
      <c r="E9" s="2" t="inlineStr">
        <is>
          <t>Vignette (dark edges)</t>
        </is>
      </c>
      <c r="F9" s="2">
        <f>COUNTIF($E$41:$E$205,E9)</f>
        <v/>
      </c>
      <c r="G9" s="2" t="inlineStr">
        <is>
          <t>Teamplate style</t>
        </is>
      </c>
      <c r="I9" s="9" t="inlineStr">
        <is>
          <t>Red (tornado warning)</t>
        </is>
      </c>
      <c r="J9" s="2" t="inlineStr">
        <is>
          <t>#FF0000</t>
        </is>
      </c>
      <c r="K9" s="2">
        <f>COUNTIFS($H$41:$H$205,J9,$E$41:$E$205,"Tornado track line")</f>
        <v/>
      </c>
      <c r="L9" s="2">
        <f>COUNTIFS($H$41:$H$205,J9,$E$41:$E$205,"Track label chip")</f>
        <v/>
      </c>
      <c r="M9" s="2">
        <f>COUNTIFS($H$41:$H$205,J9,$D$41:$D$205,"Map data graphic",$E$41:$E$205,"Warning*")</f>
        <v/>
      </c>
      <c r="N9" s="2">
        <f>COUNTIF($H$41:$H$205,J9)</f>
        <v/>
      </c>
    </row>
    <row r="10">
      <c r="A10" s="2" t="inlineStr">
        <is>
          <t>Text card</t>
        </is>
      </c>
      <c r="B10" s="2">
        <f>COUNTIF($D$41:$D$205,A10)</f>
        <v/>
      </c>
      <c r="C10" s="5">
        <f>SUMIF($D$41:$D$205,A10,$K$41:$K$205)</f>
        <v/>
      </c>
      <c r="E10" s="2" t="inlineStr">
        <is>
          <t>Camera fly to place</t>
        </is>
      </c>
      <c r="F10" s="2">
        <f>COUNTIF($E$41:$E$205,E10)</f>
        <v/>
      </c>
      <c r="G10" s="2" t="inlineStr">
        <is>
          <t>Your plan</t>
        </is>
      </c>
      <c r="I10" s="10" t="inlineStr">
        <is>
          <t>Orange (place label tag)</t>
        </is>
      </c>
      <c r="J10" s="2" t="inlineStr">
        <is>
          <t>#E8552B</t>
        </is>
      </c>
      <c r="K10" s="2">
        <f>COUNTIFS($H$41:$H$205,J10,$E$41:$E$205,"Tornado track line")</f>
        <v/>
      </c>
      <c r="L10" s="2">
        <f>COUNTIFS($H$41:$H$205,J10,$E$41:$E$205,"Track label chip")</f>
        <v/>
      </c>
      <c r="M10" s="2">
        <f>COUNTIFS($H$41:$H$205,J10,$D$41:$D$205,"Map data graphic",$E$41:$E$205,"Warning*")</f>
        <v/>
      </c>
      <c r="N10" s="2">
        <f>COUNTIF($H$41:$H$205,J10)</f>
        <v/>
      </c>
    </row>
    <row r="11">
      <c r="A11" s="2" t="inlineStr">
        <is>
          <t>Source line</t>
        </is>
      </c>
      <c r="B11" s="2">
        <f>COUNTIF($D$41:$D$205,A11)</f>
        <v/>
      </c>
      <c r="C11" s="5">
        <f>SUMIF($D$41:$D$205,A11,$K$41:$K$205)</f>
        <v/>
      </c>
      <c r="E11" s="2" t="inlineStr">
        <is>
          <t>Camera slow push in</t>
        </is>
      </c>
      <c r="F11" s="2">
        <f>COUNTIF($E$41:$E$205,E11)</f>
        <v/>
      </c>
      <c r="G11" s="2" t="inlineStr">
        <is>
          <t>Your plan</t>
        </is>
      </c>
      <c r="I11" s="11" t="inlineStr">
        <is>
          <t>Red (title highlight / headline)</t>
        </is>
      </c>
      <c r="J11" s="2" t="inlineStr">
        <is>
          <t>#D3122B</t>
        </is>
      </c>
      <c r="K11" s="2">
        <f>COUNTIFS($H$41:$H$205,J11,$E$41:$E$205,"Tornado track line")</f>
        <v/>
      </c>
      <c r="L11" s="2">
        <f>COUNTIFS($H$41:$H$205,J11,$E$41:$E$205,"Track label chip")</f>
        <v/>
      </c>
      <c r="M11" s="2">
        <f>COUNTIFS($H$41:$H$205,J11,$D$41:$D$205,"Map data graphic",$E$41:$E$205,"Warning*")</f>
        <v/>
      </c>
      <c r="N11" s="2">
        <f>COUNTIF($H$41:$H$205,J11)</f>
        <v/>
      </c>
    </row>
    <row r="12">
      <c r="A12" s="2" t="inlineStr">
        <is>
          <t>Footage</t>
        </is>
      </c>
      <c r="B12" s="2">
        <f>COUNTIF($D$41:$D$205,A12)</f>
        <v/>
      </c>
      <c r="C12" s="5">
        <f>SUMIF($D$41:$D$205,A12,$K$41:$K$205)</f>
        <v/>
      </c>
      <c r="E12" s="2" t="inlineStr">
        <is>
          <t>Camera ease back out</t>
        </is>
      </c>
      <c r="F12" s="2">
        <f>COUNTIF($E$41:$E$205,E12)</f>
        <v/>
      </c>
      <c r="G12" s="2" t="inlineStr">
        <is>
          <t>Your plan</t>
        </is>
      </c>
      <c r="I12" s="12" t="inlineStr">
        <is>
          <t>White (source lines)</t>
        </is>
      </c>
      <c r="J12" s="2" t="inlineStr">
        <is>
          <t>#FFFFFF</t>
        </is>
      </c>
      <c r="K12" s="2">
        <f>COUNTIFS($H$41:$H$205,J12,$E$41:$E$205,"Tornado track line")</f>
        <v/>
      </c>
      <c r="L12" s="2">
        <f>COUNTIFS($H$41:$H$205,J12,$E$41:$E$205,"Track label chip")</f>
        <v/>
      </c>
      <c r="M12" s="2">
        <f>COUNTIFS($H$41:$H$205,J12,$D$41:$D$205,"Map data graphic",$E$41:$E$205,"Warning*")</f>
        <v/>
      </c>
      <c r="N12" s="2">
        <f>COUNTIF($H$41:$H$205,J12)</f>
        <v/>
      </c>
    </row>
    <row r="13">
      <c r="A13" s="2" t="inlineStr">
        <is>
          <t>Transition / effect</t>
        </is>
      </c>
      <c r="B13" s="2">
        <f>COUNTIF($D$41:$D$205,A13)</f>
        <v/>
      </c>
      <c r="C13" s="5">
        <f>SUMIF($D$41:$D$205,A13,$K$41:$K$205)</f>
        <v/>
      </c>
      <c r="E13" s="2" t="inlineStr">
        <is>
          <t>Stock video clip</t>
        </is>
      </c>
      <c r="F13" s="2">
        <f>COUNTIF($E$41:$E$205,E13)</f>
        <v/>
      </c>
      <c r="G13" s="2" t="inlineStr">
        <is>
          <t>Your plan / Teamplate cutaway</t>
        </is>
      </c>
      <c r="I13" s="13" t="inlineStr">
        <is>
          <t>Black (place tag (top))</t>
        </is>
      </c>
      <c r="J13" s="2" t="inlineStr">
        <is>
          <t>#111111</t>
        </is>
      </c>
      <c r="K13" s="2">
        <f>COUNTIFS($H$41:$H$205,J13,$E$41:$E$205,"Tornado track line")</f>
        <v/>
      </c>
      <c r="L13" s="2">
        <f>COUNTIFS($H$41:$H$205,J13,$E$41:$E$205,"Track label chip")</f>
        <v/>
      </c>
      <c r="M13" s="2">
        <f>COUNTIFS($H$41:$H$205,J13,$D$41:$D$205,"Map data graphic",$E$41:$E$205,"Warning*")</f>
        <v/>
      </c>
      <c r="N13" s="2">
        <f>COUNTIF($H$41:$H$205,J13)</f>
        <v/>
      </c>
    </row>
    <row r="14">
      <c r="A14" s="2" t="inlineStr">
        <is>
          <t>Camera move</t>
        </is>
      </c>
      <c r="B14" s="2">
        <f>COUNTIF($D$41:$D$205,A14)</f>
        <v/>
      </c>
      <c r="C14" s="5">
        <f>SUMIF($D$41:$D$205,A14,$K$41:$K$205)</f>
        <v/>
      </c>
      <c r="E14" s="2" t="inlineStr">
        <is>
          <t>Dip to dark (transition)</t>
        </is>
      </c>
      <c r="F14" s="2">
        <f>COUNTIF($E$41:$E$205,E14)</f>
        <v/>
      </c>
      <c r="G14" s="2" t="inlineStr">
        <is>
          <t>Teamplate style</t>
        </is>
      </c>
      <c r="I14" s="3" t="inlineStr">
        <is>
          <t>Total</t>
        </is>
      </c>
      <c r="K14" s="3">
        <f>SUM(K6:K13)</f>
        <v/>
      </c>
      <c r="L14" s="3">
        <f>SUM(L6:L13)</f>
        <v/>
      </c>
      <c r="M14" s="3">
        <f>SUM(M6:M13)</f>
        <v/>
      </c>
      <c r="N14" s="3">
        <f>SUM(N6:N13)</f>
        <v/>
      </c>
    </row>
    <row r="15">
      <c r="A15" s="3" t="inlineStr">
        <is>
          <t>Total</t>
        </is>
      </c>
      <c r="B15" s="3">
        <f>SUM(B6:B14)</f>
        <v/>
      </c>
      <c r="C15" s="14">
        <f>SUM(C6:C14)</f>
        <v/>
      </c>
      <c r="E15" s="2" t="inlineStr">
        <is>
          <t>Keyword title card</t>
        </is>
      </c>
      <c r="F15" s="2">
        <f>COUNTIF($E$41:$E$205,E15)</f>
        <v/>
      </c>
      <c r="G15" s="2" t="inlineStr">
        <is>
          <t>Your plan (hud_title) in Teamplate style</t>
        </is>
      </c>
    </row>
    <row r="16">
      <c r="A16" s="15" t="inlineStr">
        <is>
          <t>On-screen seconds overlap (several visuals at once), so the total is more than the video's length.</t>
        </is>
      </c>
      <c r="E16" s="2" t="inlineStr">
        <is>
          <t>Place tag (top)</t>
        </is>
      </c>
      <c r="F16" s="2">
        <f>COUNTIF($E$41:$E$205,E16)</f>
        <v/>
      </c>
      <c r="G16" s="2" t="inlineStr">
        <is>
          <t>Teamplate style</t>
        </is>
      </c>
    </row>
    <row r="17">
      <c r="E17" s="2" t="inlineStr">
        <is>
          <t>Legend panel</t>
        </is>
      </c>
      <c r="F17" s="2">
        <f>COUNTIF($E$41:$E$205,E17)</f>
        <v/>
      </c>
      <c r="G17" s="2" t="inlineStr">
        <is>
          <t>Engine (auto)</t>
        </is>
      </c>
      <c r="I17" s="3" t="inlineStr">
        <is>
          <t>Tornado tracks drawn in v5, by the state they start in</t>
        </is>
      </c>
    </row>
    <row r="18">
      <c r="E18" s="2" t="inlineStr">
        <is>
          <t>Tornado track line</t>
        </is>
      </c>
      <c r="F18" s="2">
        <f>COUNTIF($E$41:$E$205,E18)</f>
        <v/>
      </c>
      <c r="G18" s="2" t="inlineStr">
        <is>
          <t>Engine (auto)</t>
        </is>
      </c>
      <c r="I18" s="4" t="inlineStr">
        <is>
          <t>State</t>
        </is>
      </c>
      <c r="J18" s="4" t="inlineStr">
        <is>
          <t>Track lines drawn</t>
        </is>
      </c>
      <c r="K18" s="4" t="inlineStr">
        <is>
          <t>Note</t>
        </is>
      </c>
    </row>
    <row r="19">
      <c r="E19" s="2" t="inlineStr">
        <is>
          <t>Track label chip</t>
        </is>
      </c>
      <c r="F19" s="2">
        <f>COUNTIF($E$41:$E$205,E19)</f>
        <v/>
      </c>
      <c r="G19" s="2" t="inlineStr">
        <is>
          <t>Engine (auto)</t>
        </is>
      </c>
      <c r="I19" s="2" t="inlineStr">
        <is>
          <t>SC</t>
        </is>
      </c>
      <c r="J19" s="2">
        <f>COUNTIFS($E$41:$E$205,"Tornado track line",$F$41:$F$205,"*starts in SC;*")</f>
        <v/>
      </c>
      <c r="K19" s="2" t="inlineStr">
        <is>
          <t>the story's state: correct</t>
        </is>
      </c>
    </row>
    <row r="20">
      <c r="A20" s="3" t="inlineStr">
        <is>
          <t>Key numbers</t>
        </is>
      </c>
      <c r="E20" s="2" t="inlineStr">
        <is>
          <t>Source line (bottom text)</t>
        </is>
      </c>
      <c r="F20" s="2">
        <f>COUNTIF($E$41:$E$205,E20)</f>
        <v/>
      </c>
      <c r="G20" s="2" t="inlineStr">
        <is>
          <t>Engine (auto)</t>
        </is>
      </c>
      <c r="I20" s="2" t="inlineStr">
        <is>
          <t>GA</t>
        </is>
      </c>
      <c r="J20" s="2">
        <f>COUNTIFS($E$41:$E$205,"Tornado track line",$F$41:$F$205,"*starts in GA;*")</f>
        <v/>
      </c>
      <c r="K20" s="2" t="inlineStr">
        <is>
          <t>outside the story: removed for the next render (fix made after v5)</t>
        </is>
      </c>
    </row>
    <row r="21">
      <c r="A21" s="2" t="inlineStr">
        <is>
          <t>Video length (s)</t>
        </is>
      </c>
      <c r="B21" s="16" t="n">
        <v>546.23</v>
      </c>
      <c r="C21" s="15" t="inlineStr">
        <is>
          <t>ffprobe of the rendered file</t>
        </is>
      </c>
      <c r="E21" s="2" t="inlineStr">
        <is>
          <t>Radar colour scale</t>
        </is>
      </c>
      <c r="F21" s="2">
        <f>COUNTIF($E$41:$E$205,E21)</f>
        <v/>
      </c>
      <c r="G21" s="2" t="inlineStr">
        <is>
          <t>Engine (auto)</t>
        </is>
      </c>
      <c r="I21" s="2" t="inlineStr">
        <is>
          <t>NC</t>
        </is>
      </c>
      <c r="J21" s="2">
        <f>COUNTIFS($E$41:$E$205,"Tornado track line",$F$41:$F$205,"*starts in NC;*")</f>
        <v/>
      </c>
      <c r="K21" s="2" t="inlineStr">
        <is>
          <t>outside the story: removed for the next render (fix made after v5)</t>
        </is>
      </c>
    </row>
    <row r="22">
      <c r="A22" s="2" t="inlineStr">
        <is>
          <t>Map beats / footage beats</t>
        </is>
      </c>
      <c r="B22" s="2" t="inlineStr">
        <is>
          <t>32 / 20</t>
        </is>
      </c>
      <c r="C22" s="15" t="inlineStr">
        <is>
          <t>the render plan (Teamplate cutaways included)</t>
        </is>
      </c>
      <c r="E22" s="2" t="inlineStr">
        <is>
          <t>Radar loop</t>
        </is>
      </c>
      <c r="F22" s="2">
        <f>COUNTIF($E$41:$E$205,E22)</f>
        <v/>
      </c>
      <c r="G22" s="2" t="inlineStr">
        <is>
          <t>Engine (auto)</t>
        </is>
      </c>
    </row>
    <row r="23">
      <c r="A23" s="2" t="inlineStr">
        <is>
          <t>Distinct graphic layers added by the engine</t>
        </is>
      </c>
      <c r="B23" s="2">
        <f>COUNTIFS($J$41:$J$205,"Engine (auto)")</f>
        <v/>
      </c>
      <c r="C23" s="15" t="inlineStr">
        <is>
          <t>rows; a layer can be several rows</t>
        </is>
      </c>
      <c r="E23" s="2" t="inlineStr">
        <is>
          <t>Warning polygon (fill)</t>
        </is>
      </c>
      <c r="F23" s="2">
        <f>COUNTIF($E$41:$E$205,E23)</f>
        <v/>
      </c>
      <c r="G23" s="2" t="inlineStr">
        <is>
          <t>Engine (auto)</t>
        </is>
      </c>
    </row>
    <row r="24">
      <c r="A24" s="2" t="inlineStr">
        <is>
          <t>Camera moves added by the motion pass</t>
        </is>
      </c>
      <c r="B24" s="2">
        <f>COUNTIF($J$41:$J$205,"Motion pass (new)")</f>
        <v/>
      </c>
      <c r="C24" s="15" t="inlineStr"/>
      <c r="E24" s="2" t="inlineStr">
        <is>
          <t>Warning polygon (outline)</t>
        </is>
      </c>
      <c r="F24" s="2">
        <f>COUNTIF($E$41:$E$205,E24)</f>
        <v/>
      </c>
      <c r="G24" s="2" t="inlineStr">
        <is>
          <t>Engine (auto)</t>
        </is>
      </c>
    </row>
    <row r="25">
      <c r="A25" s="2" t="inlineStr">
        <is>
          <t>Footage clips</t>
        </is>
      </c>
      <c r="B25" s="2">
        <f>COUNTIF($D$41:$D$205,"Footage")</f>
        <v/>
      </c>
      <c r="C25" s="15" t="inlineStr"/>
      <c r="E25" s="2" t="inlineStr">
        <is>
          <t>Explainer card</t>
        </is>
      </c>
      <c r="F25" s="2">
        <f>COUNTIF($E$41:$E$205,E25)</f>
        <v/>
      </c>
      <c r="G25" s="2" t="inlineStr">
        <is>
          <t>Engine (auto)</t>
        </is>
      </c>
    </row>
    <row r="26">
      <c r="A26" s="2" t="inlineStr">
        <is>
          <t>Longest still stretch, v3 (s)</t>
        </is>
      </c>
      <c r="B26" s="16" t="n">
        <v>16.5</v>
      </c>
      <c r="C26" s="15" t="inlineStr">
        <is>
          <t>measured on the video: frames compared twice a second</t>
        </is>
      </c>
      <c r="E26" s="3" t="inlineStr">
        <is>
          <t>Total</t>
        </is>
      </c>
      <c r="F26" s="3">
        <f>SUM(F6:F25)</f>
        <v/>
      </c>
    </row>
    <row r="27">
      <c r="A27" s="2" t="inlineStr">
        <is>
          <t>Longest still stretch, v5 (s)</t>
        </is>
      </c>
      <c r="B27" s="16" t="n">
        <v>7</v>
      </c>
      <c r="C27" s="15" t="inlineStr">
        <is>
          <t>same measure</t>
        </is>
      </c>
    </row>
    <row r="28">
      <c r="A28" s="2" t="inlineStr">
        <is>
          <t>Time in still stretches of 6 s or more, v3 (s)</t>
        </is>
      </c>
      <c r="B28" s="16" t="n">
        <v>73</v>
      </c>
      <c r="C28" s="15" t="inlineStr">
        <is>
          <t>same measure</t>
        </is>
      </c>
    </row>
    <row r="29">
      <c r="A29" s="2" t="inlineStr">
        <is>
          <t>Time in still stretches of 6 s or more, v5 (s)</t>
        </is>
      </c>
      <c r="B29" s="16" t="n">
        <v>19.5</v>
      </c>
      <c r="C29" s="15" t="inlineStr">
        <is>
          <t>same measure</t>
        </is>
      </c>
    </row>
    <row r="39">
      <c r="A39" s="3" t="inlineStr">
        <is>
          <t>Every visual, in time order</t>
        </is>
      </c>
    </row>
    <row r="40">
      <c r="A40" s="4" t="inlineStr">
        <is>
          <t>Start (s)</t>
        </is>
      </c>
      <c r="B40" s="4" t="inlineStr">
        <is>
          <t>End (s)</t>
        </is>
      </c>
      <c r="C40" s="4" t="inlineStr">
        <is>
          <t>Beat</t>
        </is>
      </c>
      <c r="D40" s="4" t="inlineStr">
        <is>
          <t>Family</t>
        </is>
      </c>
      <c r="E40" s="4" t="inlineStr">
        <is>
          <t>Visual</t>
        </is>
      </c>
      <c r="F40" s="4" t="inlineStr">
        <is>
          <t>What it shows</t>
        </is>
      </c>
      <c r="G40" s="4" t="inlineStr">
        <is>
          <t>Colour</t>
        </is>
      </c>
      <c r="H40" s="4" t="inlineStr">
        <is>
          <t>Hex</t>
        </is>
      </c>
      <c r="I40" s="4" t="inlineStr">
        <is>
          <t>Data source</t>
        </is>
      </c>
      <c r="J40" s="4" t="inlineStr">
        <is>
          <t>Added by</t>
        </is>
      </c>
      <c r="K40" s="4" t="inlineStr">
        <is>
          <t>On screen (s)</t>
        </is>
      </c>
      <c r="L40" s="4" t="inlineStr">
        <is>
          <t>Starts at (m:ss)</t>
        </is>
      </c>
    </row>
    <row r="41">
      <c r="A41" s="17" t="n">
        <v>0</v>
      </c>
      <c r="B41" s="17" t="n">
        <v>0</v>
      </c>
      <c r="C41" s="18" t="inlineStr">
        <is>
          <t>b1</t>
        </is>
      </c>
      <c r="D41" s="18" t="inlineStr">
        <is>
          <t>Camera move</t>
        </is>
      </c>
      <c r="E41" s="18" t="inlineStr">
        <is>
          <t>Camera start</t>
        </is>
      </c>
      <c r="F41" s="18" t="inlineStr">
        <is>
          <t>South Carolina</t>
        </is>
      </c>
      <c r="G41" s="18" t="inlineStr">
        <is>
          <t>—</t>
        </is>
      </c>
      <c r="H41" s="18" t="inlineStr"/>
      <c r="I41" s="18" t="inlineStr">
        <is>
          <t>—</t>
        </is>
      </c>
      <c r="J41" s="18" t="inlineStr">
        <is>
          <t>Your plan</t>
        </is>
      </c>
      <c r="K41" s="5">
        <f>B41-A41</f>
        <v/>
      </c>
      <c r="L41" s="2" t="inlineStr">
        <is>
          <t>0:00.0</t>
        </is>
      </c>
    </row>
    <row r="42">
      <c r="A42" s="17" t="n">
        <v>0</v>
      </c>
      <c r="B42" s="17" t="n">
        <v>9.84</v>
      </c>
      <c r="C42" s="18" t="inlineStr">
        <is>
          <t>b1</t>
        </is>
      </c>
      <c r="D42" s="18" t="inlineStr">
        <is>
          <t>Map label</t>
        </is>
      </c>
      <c r="E42" s="18" t="inlineStr">
        <is>
          <t>Place label (dot + name)</t>
        </is>
      </c>
      <c r="F42" s="18" t="inlineStr">
        <is>
          <t>NEWBERRY COUNTY</t>
        </is>
      </c>
      <c r="G42" s="18" t="inlineStr">
        <is>
          <t>Orange tag</t>
        </is>
      </c>
      <c r="H42" s="19" t="inlineStr">
        <is>
          <t>#E8552B</t>
        </is>
      </c>
      <c r="I42" s="18" t="inlineStr">
        <is>
          <t>US county outlines (bundled)</t>
        </is>
      </c>
      <c r="J42" s="18" t="inlineStr">
        <is>
          <t>Engine (auto)</t>
        </is>
      </c>
      <c r="K42" s="5">
        <f>B42-A42</f>
        <v/>
      </c>
      <c r="L42" s="2" t="inlineStr">
        <is>
          <t>0:00.0</t>
        </is>
      </c>
    </row>
    <row r="43">
      <c r="A43" s="17" t="n">
        <v>0</v>
      </c>
      <c r="B43" s="17" t="n">
        <v>7</v>
      </c>
      <c r="C43" s="18" t="inlineStr">
        <is>
          <t>b1</t>
        </is>
      </c>
      <c r="D43" s="18" t="inlineStr">
        <is>
          <t>Text card</t>
        </is>
      </c>
      <c r="E43" s="18" t="inlineStr">
        <is>
          <t>Headline lower-third</t>
        </is>
      </c>
      <c r="F43" s="18" t="inlineStr">
        <is>
          <t>TORNADO / NEWBERRY COUNTY, SOUTH CAROLINA / SUNDAY, OCTOBER 11, 2026</t>
        </is>
      </c>
      <c r="G43" s="18" t="inlineStr">
        <is>
          <t>Red kicker, white title</t>
        </is>
      </c>
      <c r="H43" s="20" t="inlineStr">
        <is>
          <t>#D3122B</t>
        </is>
      </c>
      <c r="I43" s="18" t="inlineStr">
        <is>
          <t>—</t>
        </is>
      </c>
      <c r="J43" s="18" t="inlineStr">
        <is>
          <t>Engine (auto)</t>
        </is>
      </c>
      <c r="K43" s="5">
        <f>B43-A43</f>
        <v/>
      </c>
      <c r="L43" s="2" t="inlineStr">
        <is>
          <t>0:00.0</t>
        </is>
      </c>
    </row>
    <row r="44">
      <c r="A44" s="17" t="n">
        <v>0</v>
      </c>
      <c r="B44" s="17" t="n">
        <v>546.25</v>
      </c>
      <c r="C44" s="18" t="inlineStr">
        <is>
          <t>b1</t>
        </is>
      </c>
      <c r="D44" s="18" t="inlineStr">
        <is>
          <t>Transition / effect</t>
        </is>
      </c>
      <c r="E44" s="18" t="inlineStr">
        <is>
          <t>Vignette (dark edges)</t>
        </is>
      </c>
      <c r="F44" s="18" t="inlineStr">
        <is>
          <t>whole video</t>
        </is>
      </c>
      <c r="G44" s="18" t="inlineStr">
        <is>
          <t>Black (edges)</t>
        </is>
      </c>
      <c r="H44" s="21" t="inlineStr">
        <is>
          <t>#000000</t>
        </is>
      </c>
      <c r="I44" s="18" t="inlineStr">
        <is>
          <t>—</t>
        </is>
      </c>
      <c r="J44" s="18" t="inlineStr">
        <is>
          <t>Teamplate style</t>
        </is>
      </c>
      <c r="K44" s="5">
        <f>B44-A44</f>
        <v/>
      </c>
      <c r="L44" s="2" t="inlineStr">
        <is>
          <t>0:00.0</t>
        </is>
      </c>
    </row>
    <row r="45">
      <c r="A45" s="17" t="n">
        <v>1.4</v>
      </c>
      <c r="B45" s="17" t="n">
        <v>3.6</v>
      </c>
      <c r="C45" s="18" t="inlineStr">
        <is>
          <t>b1</t>
        </is>
      </c>
      <c r="D45" s="18" t="inlineStr">
        <is>
          <t>Camera move</t>
        </is>
      </c>
      <c r="E45" s="18" t="inlineStr">
        <is>
          <t>Camera fly to place</t>
        </is>
      </c>
      <c r="F45" s="18" t="inlineStr">
        <is>
          <t>South Carolina</t>
        </is>
      </c>
      <c r="G45" s="18" t="inlineStr">
        <is>
          <t>—</t>
        </is>
      </c>
      <c r="H45" s="18" t="inlineStr"/>
      <c r="I45" s="18" t="inlineStr">
        <is>
          <t>—</t>
        </is>
      </c>
      <c r="J45" s="18" t="inlineStr">
        <is>
          <t>Your plan</t>
        </is>
      </c>
      <c r="K45" s="5">
        <f>B45-A45</f>
        <v/>
      </c>
      <c r="L45" s="2" t="inlineStr">
        <is>
          <t>0:01.4</t>
        </is>
      </c>
    </row>
    <row r="46">
      <c r="A46" s="17" t="n">
        <v>3.9</v>
      </c>
      <c r="B46" s="17" t="n">
        <v>9.539999999999999</v>
      </c>
      <c r="C46" s="18" t="inlineStr">
        <is>
          <t>b1</t>
        </is>
      </c>
      <c r="D46" s="18" t="inlineStr">
        <is>
          <t>Camera move</t>
        </is>
      </c>
      <c r="E46" s="18" t="inlineStr">
        <is>
          <t>Camera slow push in</t>
        </is>
      </c>
      <c r="F46" s="18" t="inlineStr">
        <is>
          <t>same place</t>
        </is>
      </c>
      <c r="G46" s="18" t="inlineStr">
        <is>
          <t>—</t>
        </is>
      </c>
      <c r="H46" s="18" t="inlineStr"/>
      <c r="I46" s="18" t="inlineStr">
        <is>
          <t>—</t>
        </is>
      </c>
      <c r="J46" s="18" t="inlineStr">
        <is>
          <t>Your plan</t>
        </is>
      </c>
      <c r="K46" s="5">
        <f>B46-A46</f>
        <v/>
      </c>
      <c r="L46" s="2" t="inlineStr">
        <is>
          <t>0:03.9</t>
        </is>
      </c>
    </row>
    <row r="47">
      <c r="A47" s="17" t="n">
        <v>10.14</v>
      </c>
      <c r="B47" s="17" t="n">
        <v>18.26</v>
      </c>
      <c r="C47" s="18" t="inlineStr">
        <is>
          <t>b2</t>
        </is>
      </c>
      <c r="D47" s="18" t="inlineStr">
        <is>
          <t>Camera move</t>
        </is>
      </c>
      <c r="E47" s="18" t="inlineStr">
        <is>
          <t>Camera ease back out</t>
        </is>
      </c>
      <c r="F47" s="18" t="inlineStr">
        <is>
          <t>same place</t>
        </is>
      </c>
      <c r="G47" s="18" t="inlineStr">
        <is>
          <t>—</t>
        </is>
      </c>
      <c r="H47" s="18" t="inlineStr"/>
      <c r="I47" s="18" t="inlineStr">
        <is>
          <t>—</t>
        </is>
      </c>
      <c r="J47" s="18" t="inlineStr">
        <is>
          <t>Your plan</t>
        </is>
      </c>
      <c r="K47" s="5">
        <f>B47-A47</f>
        <v/>
      </c>
      <c r="L47" s="2" t="inlineStr">
        <is>
          <t>0:10.1</t>
        </is>
      </c>
    </row>
    <row r="48">
      <c r="A48" s="17" t="n">
        <v>18.56</v>
      </c>
      <c r="B48" s="17" t="n">
        <v>23.06</v>
      </c>
      <c r="C48" s="18" t="inlineStr">
        <is>
          <t>b2</t>
        </is>
      </c>
      <c r="D48" s="18" t="inlineStr">
        <is>
          <t>Footage</t>
        </is>
      </c>
      <c r="E48" s="18" t="inlineStr">
        <is>
          <t>Stock video clip</t>
        </is>
      </c>
      <c r="F48" s="18" t="inlineStr">
        <is>
          <t>001.mp4</t>
        </is>
      </c>
      <c r="G48" s="18" t="inlineStr">
        <is>
          <t>Full colour (video)</t>
        </is>
      </c>
      <c r="H48" s="18" t="inlineStr"/>
      <c r="I48" s="18" t="inlineStr">
        <is>
          <t>Pexels stock video</t>
        </is>
      </c>
      <c r="J48" s="18" t="inlineStr">
        <is>
          <t>Your plan / Teamplate cutaway</t>
        </is>
      </c>
      <c r="K48" s="5">
        <f>B48-A48</f>
        <v/>
      </c>
      <c r="L48" s="2" t="inlineStr">
        <is>
          <t>0:18.6</t>
        </is>
      </c>
    </row>
    <row r="49">
      <c r="A49" s="17" t="n">
        <v>23.36</v>
      </c>
      <c r="B49" s="17" t="n">
        <v>33.36</v>
      </c>
      <c r="C49" s="18" t="inlineStr">
        <is>
          <t>b3</t>
        </is>
      </c>
      <c r="D49" s="18" t="inlineStr">
        <is>
          <t>Camera move</t>
        </is>
      </c>
      <c r="E49" s="18" t="inlineStr">
        <is>
          <t>Camera slow push in</t>
        </is>
      </c>
      <c r="F49" s="18" t="inlineStr">
        <is>
          <t>same place</t>
        </is>
      </c>
      <c r="G49" s="18" t="inlineStr">
        <is>
          <t>—</t>
        </is>
      </c>
      <c r="H49" s="18" t="inlineStr"/>
      <c r="I49" s="18" t="inlineStr">
        <is>
          <t>—</t>
        </is>
      </c>
      <c r="J49" s="18" t="inlineStr">
        <is>
          <t>Your plan</t>
        </is>
      </c>
      <c r="K49" s="5">
        <f>B49-A49</f>
        <v/>
      </c>
      <c r="L49" s="2" t="inlineStr">
        <is>
          <t>0:23.4</t>
        </is>
      </c>
    </row>
    <row r="50">
      <c r="A50" s="17" t="n">
        <v>27.26</v>
      </c>
      <c r="B50" s="17" t="n">
        <v>36.48</v>
      </c>
      <c r="C50" s="18" t="inlineStr">
        <is>
          <t>b3</t>
        </is>
      </c>
      <c r="D50" s="18" t="inlineStr">
        <is>
          <t>Map label</t>
        </is>
      </c>
      <c r="E50" s="18" t="inlineStr">
        <is>
          <t>Place label (dot + name)</t>
        </is>
      </c>
      <c r="F50" s="18" t="inlineStr">
        <is>
          <t>NEWBERRY COUNTY</t>
        </is>
      </c>
      <c r="G50" s="18" t="inlineStr">
        <is>
          <t>Orange tag</t>
        </is>
      </c>
      <c r="H50" s="19" t="inlineStr">
        <is>
          <t>#E8552B</t>
        </is>
      </c>
      <c r="I50" s="18" t="inlineStr">
        <is>
          <t>US county outlines (bundled)</t>
        </is>
      </c>
      <c r="J50" s="18" t="inlineStr">
        <is>
          <t>Engine (auto)</t>
        </is>
      </c>
      <c r="K50" s="5">
        <f>B50-A50</f>
        <v/>
      </c>
      <c r="L50" s="2" t="inlineStr">
        <is>
          <t>0:27.3</t>
        </is>
      </c>
    </row>
    <row r="51">
      <c r="A51" s="17" t="n">
        <v>36.46</v>
      </c>
      <c r="B51" s="17" t="n">
        <v>42.3</v>
      </c>
      <c r="C51" s="18" t="inlineStr">
        <is>
          <t>b3</t>
        </is>
      </c>
      <c r="D51" s="18" t="inlineStr">
        <is>
          <t>Footage</t>
        </is>
      </c>
      <c r="E51" s="18" t="inlineStr">
        <is>
          <t>Stock video clip</t>
        </is>
      </c>
      <c r="F51" s="18" t="inlineStr">
        <is>
          <t>002.mp4</t>
        </is>
      </c>
      <c r="G51" s="18" t="inlineStr">
        <is>
          <t>Full colour (video)</t>
        </is>
      </c>
      <c r="H51" s="18" t="inlineStr"/>
      <c r="I51" s="18" t="inlineStr">
        <is>
          <t>Pexels stock video</t>
        </is>
      </c>
      <c r="J51" s="18" t="inlineStr">
        <is>
          <t>Your plan (footage beat)</t>
        </is>
      </c>
      <c r="K51" s="5">
        <f>B51-A51</f>
        <v/>
      </c>
      <c r="L51" s="2" t="inlineStr">
        <is>
          <t>0:36.5</t>
        </is>
      </c>
    </row>
    <row r="52">
      <c r="A52" s="17" t="n">
        <v>42.27</v>
      </c>
      <c r="B52" s="17" t="n">
        <v>48.11</v>
      </c>
      <c r="C52" s="18" t="inlineStr">
        <is>
          <t>b4</t>
        </is>
      </c>
      <c r="D52" s="18" t="inlineStr">
        <is>
          <t>Footage</t>
        </is>
      </c>
      <c r="E52" s="18" t="inlineStr">
        <is>
          <t>Stock video clip</t>
        </is>
      </c>
      <c r="F52" s="18" t="inlineStr">
        <is>
          <t>003.mp4</t>
        </is>
      </c>
      <c r="G52" s="18" t="inlineStr">
        <is>
          <t>Full colour (video)</t>
        </is>
      </c>
      <c r="H52" s="18" t="inlineStr"/>
      <c r="I52" s="18" t="inlineStr">
        <is>
          <t>Pexels stock video</t>
        </is>
      </c>
      <c r="J52" s="18" t="inlineStr">
        <is>
          <t>Your plan (footage beat)</t>
        </is>
      </c>
      <c r="K52" s="5">
        <f>B52-A52</f>
        <v/>
      </c>
      <c r="L52" s="2" t="inlineStr">
        <is>
          <t>0:42.3</t>
        </is>
      </c>
    </row>
    <row r="53">
      <c r="A53" s="17" t="n">
        <v>48.08</v>
      </c>
      <c r="B53" s="17" t="n">
        <v>53.92</v>
      </c>
      <c r="C53" s="18" t="inlineStr">
        <is>
          <t>b4</t>
        </is>
      </c>
      <c r="D53" s="18" t="inlineStr">
        <is>
          <t>Footage</t>
        </is>
      </c>
      <c r="E53" s="18" t="inlineStr">
        <is>
          <t>Stock video clip</t>
        </is>
      </c>
      <c r="F53" s="18" t="inlineStr">
        <is>
          <t>004.mp4</t>
        </is>
      </c>
      <c r="G53" s="18" t="inlineStr">
        <is>
          <t>Full colour (video)</t>
        </is>
      </c>
      <c r="H53" s="18" t="inlineStr"/>
      <c r="I53" s="18" t="inlineStr">
        <is>
          <t>Pexels stock video</t>
        </is>
      </c>
      <c r="J53" s="18" t="inlineStr">
        <is>
          <t>Your plan (footage beat)</t>
        </is>
      </c>
      <c r="K53" s="5">
        <f>B53-A53</f>
        <v/>
      </c>
      <c r="L53" s="2" t="inlineStr">
        <is>
          <t>0:48.1</t>
        </is>
      </c>
    </row>
    <row r="54">
      <c r="A54" s="17" t="n">
        <v>54.45</v>
      </c>
      <c r="B54" s="17" t="n">
        <v>56.85</v>
      </c>
      <c r="C54" s="18" t="inlineStr">
        <is>
          <t>b5</t>
        </is>
      </c>
      <c r="D54" s="18" t="inlineStr">
        <is>
          <t>Camera move</t>
        </is>
      </c>
      <c r="E54" s="18" t="inlineStr">
        <is>
          <t>Camera fly to place</t>
        </is>
      </c>
      <c r="F54" s="18" t="inlineStr">
        <is>
          <t>34.40,-81.42</t>
        </is>
      </c>
      <c r="G54" s="18" t="inlineStr">
        <is>
          <t>—</t>
        </is>
      </c>
      <c r="H54" s="18" t="inlineStr"/>
      <c r="I54" s="18" t="inlineStr">
        <is>
          <t>—</t>
        </is>
      </c>
      <c r="J54" s="18" t="inlineStr">
        <is>
          <t>Your plan</t>
        </is>
      </c>
      <c r="K54" s="5">
        <f>B54-A54</f>
        <v/>
      </c>
      <c r="L54" s="2" t="inlineStr">
        <is>
          <t>0:54.5</t>
        </is>
      </c>
    </row>
    <row r="55">
      <c r="A55" s="17" t="n">
        <v>54.48</v>
      </c>
      <c r="B55" s="17" t="n">
        <v>58.13</v>
      </c>
      <c r="C55" s="18" t="inlineStr">
        <is>
          <t>b5</t>
        </is>
      </c>
      <c r="D55" s="18" t="inlineStr">
        <is>
          <t>Transition / effect</t>
        </is>
      </c>
      <c r="E55" s="18" t="inlineStr">
        <is>
          <t>Dip to dark (transition)</t>
        </is>
      </c>
      <c r="F55" s="18" t="inlineStr">
        <is>
          <t>between map and title card</t>
        </is>
      </c>
      <c r="G55" s="18" t="inlineStr">
        <is>
          <t>Black</t>
        </is>
      </c>
      <c r="H55" s="21" t="inlineStr">
        <is>
          <t>#000000</t>
        </is>
      </c>
      <c r="I55" s="18" t="inlineStr">
        <is>
          <t>—</t>
        </is>
      </c>
      <c r="J55" s="18" t="inlineStr">
        <is>
          <t>Teamplate style</t>
        </is>
      </c>
      <c r="K55" s="5">
        <f>B55-A55</f>
        <v/>
      </c>
      <c r="L55" s="2" t="inlineStr">
        <is>
          <t>0:54.5</t>
        </is>
      </c>
    </row>
    <row r="56">
      <c r="A56" s="17" t="n">
        <v>54.58</v>
      </c>
      <c r="B56" s="17" t="n">
        <v>57.78</v>
      </c>
      <c r="C56" s="18" t="inlineStr">
        <is>
          <t>b5</t>
        </is>
      </c>
      <c r="D56" s="18" t="inlineStr">
        <is>
          <t>Text card</t>
        </is>
      </c>
      <c r="E56" s="18" t="inlineStr">
        <is>
          <t>Keyword title card</t>
        </is>
      </c>
      <c r="F56" s="18" t="inlineStr">
        <is>
          <t>TOUCHDOWN</t>
        </is>
      </c>
      <c r="G56" s="18" t="inlineStr">
        <is>
          <t>White + red highlight</t>
        </is>
      </c>
      <c r="H56" s="20" t="inlineStr">
        <is>
          <t>#D3122B</t>
        </is>
      </c>
      <c r="I56" s="18" t="inlineStr">
        <is>
          <t>—</t>
        </is>
      </c>
      <c r="J56" s="18" t="inlineStr">
        <is>
          <t>Your plan (hud_title) in Teamplate style</t>
        </is>
      </c>
      <c r="K56" s="5">
        <f>B56-A56</f>
        <v/>
      </c>
      <c r="L56" s="2" t="inlineStr">
        <is>
          <t>0:54.6</t>
        </is>
      </c>
    </row>
    <row r="57">
      <c r="A57" s="17" t="n">
        <v>57.15</v>
      </c>
      <c r="B57" s="17" t="n">
        <v>66.95999999999999</v>
      </c>
      <c r="C57" s="18" t="inlineStr">
        <is>
          <t>b5</t>
        </is>
      </c>
      <c r="D57" s="18" t="inlineStr">
        <is>
          <t>Camera move</t>
        </is>
      </c>
      <c r="E57" s="18" t="inlineStr">
        <is>
          <t>Camera ease back out</t>
        </is>
      </c>
      <c r="F57" s="18" t="inlineStr">
        <is>
          <t>same place</t>
        </is>
      </c>
      <c r="G57" s="18" t="inlineStr">
        <is>
          <t>—</t>
        </is>
      </c>
      <c r="H57" s="18" t="inlineStr"/>
      <c r="I57" s="18" t="inlineStr">
        <is>
          <t>—</t>
        </is>
      </c>
      <c r="J57" s="18" t="inlineStr">
        <is>
          <t>Your plan</t>
        </is>
      </c>
      <c r="K57" s="5">
        <f>B57-A57</f>
        <v/>
      </c>
      <c r="L57" s="2" t="inlineStr">
        <is>
          <t>0:57.1</t>
        </is>
      </c>
    </row>
    <row r="58">
      <c r="A58" s="17" t="n">
        <v>57.88</v>
      </c>
      <c r="B58" s="17" t="n">
        <v>67.26000000000001</v>
      </c>
      <c r="C58" s="18" t="inlineStr">
        <is>
          <t>b5</t>
        </is>
      </c>
      <c r="D58" s="18" t="inlineStr">
        <is>
          <t>Text card</t>
        </is>
      </c>
      <c r="E58" s="18" t="inlineStr">
        <is>
          <t>Place tag (top)</t>
        </is>
      </c>
      <c r="F58" s="18" t="inlineStr">
        <is>
          <t>NEWBERRY COUNTY</t>
        </is>
      </c>
      <c r="G58" s="18" t="inlineStr">
        <is>
          <t>Black tag, white text</t>
        </is>
      </c>
      <c r="H58" s="22" t="inlineStr">
        <is>
          <t>#111111</t>
        </is>
      </c>
      <c r="I58" s="18" t="inlineStr">
        <is>
          <t>—</t>
        </is>
      </c>
      <c r="J58" s="18" t="inlineStr">
        <is>
          <t>Teamplate style</t>
        </is>
      </c>
      <c r="K58" s="5">
        <f>B58-A58</f>
        <v/>
      </c>
      <c r="L58" s="2" t="inlineStr">
        <is>
          <t>0:57.9</t>
        </is>
      </c>
    </row>
    <row r="59">
      <c r="A59" s="17" t="n">
        <v>61.74</v>
      </c>
      <c r="B59" s="17" t="n">
        <v>67.26000000000001</v>
      </c>
      <c r="C59" s="18" t="inlineStr">
        <is>
          <t>b5</t>
        </is>
      </c>
      <c r="D59" s="18" t="inlineStr">
        <is>
          <t>Map label</t>
        </is>
      </c>
      <c r="E59" s="18" t="inlineStr">
        <is>
          <t>Place label (dot + name)</t>
        </is>
      </c>
      <c r="F59" s="18" t="inlineStr">
        <is>
          <t>FAIRFIELD COUNTY</t>
        </is>
      </c>
      <c r="G59" s="18" t="inlineStr">
        <is>
          <t>Orange tag</t>
        </is>
      </c>
      <c r="H59" s="19" t="inlineStr">
        <is>
          <t>#E8552B</t>
        </is>
      </c>
      <c r="I59" s="18" t="inlineStr">
        <is>
          <t>US county outlines (bundled)</t>
        </is>
      </c>
      <c r="J59" s="18" t="inlineStr">
        <is>
          <t>Engine (auto)</t>
        </is>
      </c>
      <c r="K59" s="5">
        <f>B59-A59</f>
        <v/>
      </c>
      <c r="L59" s="2" t="inlineStr">
        <is>
          <t>1:01.7</t>
        </is>
      </c>
    </row>
    <row r="60">
      <c r="A60" s="17" t="n">
        <v>67.56</v>
      </c>
      <c r="B60" s="17" t="n">
        <v>74.88</v>
      </c>
      <c r="C60" s="18" t="inlineStr">
        <is>
          <t>b6</t>
        </is>
      </c>
      <c r="D60" s="18" t="inlineStr">
        <is>
          <t>Camera move</t>
        </is>
      </c>
      <c r="E60" s="18" t="inlineStr">
        <is>
          <t>Camera slow push in</t>
        </is>
      </c>
      <c r="F60" s="18" t="inlineStr">
        <is>
          <t>same place</t>
        </is>
      </c>
      <c r="G60" s="18" t="inlineStr">
        <is>
          <t>—</t>
        </is>
      </c>
      <c r="H60" s="18" t="inlineStr"/>
      <c r="I60" s="18" t="inlineStr">
        <is>
          <t>—</t>
        </is>
      </c>
      <c r="J60" s="18" t="inlineStr">
        <is>
          <t>Your plan</t>
        </is>
      </c>
      <c r="K60" s="5">
        <f>B60-A60</f>
        <v/>
      </c>
      <c r="L60" s="2" t="inlineStr">
        <is>
          <t>1:07.6</t>
        </is>
      </c>
    </row>
    <row r="61">
      <c r="A61" s="17" t="n">
        <v>75.18000000000001</v>
      </c>
      <c r="B61" s="17" t="n">
        <v>80.68000000000001</v>
      </c>
      <c r="C61" s="18" t="inlineStr">
        <is>
          <t>b6</t>
        </is>
      </c>
      <c r="D61" s="18" t="inlineStr">
        <is>
          <t>Footage</t>
        </is>
      </c>
      <c r="E61" s="18" t="inlineStr">
        <is>
          <t>Stock video clip</t>
        </is>
      </c>
      <c r="F61" s="18" t="inlineStr">
        <is>
          <t>005.mp4</t>
        </is>
      </c>
      <c r="G61" s="18" t="inlineStr">
        <is>
          <t>Full colour (video)</t>
        </is>
      </c>
      <c r="H61" s="18" t="inlineStr"/>
      <c r="I61" s="18" t="inlineStr">
        <is>
          <t>Pexels stock video</t>
        </is>
      </c>
      <c r="J61" s="18" t="inlineStr">
        <is>
          <t>Your plan / Teamplate cutaway</t>
        </is>
      </c>
      <c r="K61" s="5">
        <f>B61-A61</f>
        <v/>
      </c>
      <c r="L61" s="2" t="inlineStr">
        <is>
          <t>1:15.2</t>
        </is>
      </c>
    </row>
    <row r="62">
      <c r="A62" s="17" t="n">
        <v>83.16</v>
      </c>
      <c r="B62" s="17" t="n">
        <v>97.22</v>
      </c>
      <c r="C62" s="18" t="inlineStr">
        <is>
          <t>b7</t>
        </is>
      </c>
      <c r="D62" s="18" t="inlineStr">
        <is>
          <t>Legend / key</t>
        </is>
      </c>
      <c r="E62" s="18" t="inlineStr">
        <is>
          <t>Legend panel</t>
        </is>
      </c>
      <c r="F62" s="18" t="inlineStr">
        <is>
          <t>EF0 TORNADO TRACK, EF1 TORNADO TRACK, EF2 TORNADO TRACK, SURVEYED · PRELIMINARY</t>
        </is>
      </c>
      <c r="G62" s="18" t="inlineStr">
        <is>
          <t>Dark panel; swatches Orange, Red-orange, White, Yellow</t>
        </is>
      </c>
      <c r="H62" s="18" t="inlineStr"/>
      <c r="I62" s="18" t="inlineStr">
        <is>
          <t>—</t>
        </is>
      </c>
      <c r="J62" s="18" t="inlineStr">
        <is>
          <t>Engine (auto)</t>
        </is>
      </c>
      <c r="K62" s="5">
        <f>B62-A62</f>
        <v/>
      </c>
      <c r="L62" s="2" t="inlineStr">
        <is>
          <t>1:23.2</t>
        </is>
      </c>
    </row>
    <row r="63">
      <c r="A63" s="17" t="n">
        <v>83.16</v>
      </c>
      <c r="B63" s="17" t="n">
        <v>97.22</v>
      </c>
      <c r="C63" s="18" t="inlineStr">
        <is>
          <t>b7</t>
        </is>
      </c>
      <c r="D63" s="18" t="inlineStr">
        <is>
          <t>Map data graphic</t>
        </is>
      </c>
      <c r="E63" s="18" t="inlineStr">
        <is>
          <t>Tornado track line</t>
        </is>
      </c>
      <c r="F63" s="18" t="inlineStr">
        <is>
          <t>Captolo Tornado — EF0, 80 mph, 1.45 mi, 25 yd (starts in GA; layer survey)</t>
        </is>
      </c>
      <c r="G63" s="18" t="inlineStr">
        <is>
          <t>Yellow</t>
        </is>
      </c>
      <c r="H63" s="23" t="inlineStr">
        <is>
          <t>#FFE066</t>
        </is>
      </c>
      <c r="I63" s="18" t="inlineStr">
        <is>
          <t>NWS Damage Assessment Toolkit (preliminary)</t>
        </is>
      </c>
      <c r="J63" s="18" t="inlineStr">
        <is>
          <t>Engine (auto)</t>
        </is>
      </c>
      <c r="K63" s="5">
        <f>B63-A63</f>
        <v/>
      </c>
      <c r="L63" s="2" t="inlineStr">
        <is>
          <t>1:23.2</t>
        </is>
      </c>
    </row>
    <row r="64">
      <c r="A64" s="17" t="n">
        <v>83.16</v>
      </c>
      <c r="B64" s="17" t="n">
        <v>97.22</v>
      </c>
      <c r="C64" s="18" t="inlineStr">
        <is>
          <t>b7</t>
        </is>
      </c>
      <c r="D64" s="18" t="inlineStr">
        <is>
          <t>Map data graphic</t>
        </is>
      </c>
      <c r="E64" s="18" t="inlineStr">
        <is>
          <t>Tornado track line</t>
        </is>
      </c>
      <c r="F64" s="18" t="inlineStr">
        <is>
          <t>Eastern Screven County Tornado — EF1, 105 mph, 7.49 mi, 200 yd (starts in GA; layer survey)</t>
        </is>
      </c>
      <c r="G64" s="18" t="inlineStr">
        <is>
          <t>Orange</t>
        </is>
      </c>
      <c r="H64" s="24" t="inlineStr">
        <is>
          <t>#FFA94D</t>
        </is>
      </c>
      <c r="I64" s="18" t="inlineStr">
        <is>
          <t>NWS Damage Assessment Toolkit (preliminary)</t>
        </is>
      </c>
      <c r="J64" s="18" t="inlineStr">
        <is>
          <t>Engine (auto)</t>
        </is>
      </c>
      <c r="K64" s="5">
        <f>B64-A64</f>
        <v/>
      </c>
      <c r="L64" s="2" t="inlineStr">
        <is>
          <t>1:23.2</t>
        </is>
      </c>
    </row>
    <row r="65">
      <c r="A65" s="17" t="n">
        <v>83.16</v>
      </c>
      <c r="B65" s="17" t="n">
        <v>97.22</v>
      </c>
      <c r="C65" s="18" t="inlineStr">
        <is>
          <t>b7</t>
        </is>
      </c>
      <c r="D65" s="18" t="inlineStr">
        <is>
          <t>Map data graphic</t>
        </is>
      </c>
      <c r="E65" s="18" t="inlineStr">
        <is>
          <t>Tornado track line</t>
        </is>
      </c>
      <c r="F65" s="18" t="inlineStr">
        <is>
          <t>Waynesboro Tornado — EF1, 110 mph, 2.70 mi, 350 yd (starts in GA; layer survey)</t>
        </is>
      </c>
      <c r="G65" s="18" t="inlineStr">
        <is>
          <t>Orange</t>
        </is>
      </c>
      <c r="H65" s="24" t="inlineStr">
        <is>
          <t>#FFA94D</t>
        </is>
      </c>
      <c r="I65" s="18" t="inlineStr">
        <is>
          <t>NWS Damage Assessment Toolkit (preliminary)</t>
        </is>
      </c>
      <c r="J65" s="18" t="inlineStr">
        <is>
          <t>Engine (auto)</t>
        </is>
      </c>
      <c r="K65" s="5">
        <f>B65-A65</f>
        <v/>
      </c>
      <c r="L65" s="2" t="inlineStr">
        <is>
          <t>1:23.2</t>
        </is>
      </c>
    </row>
    <row r="66">
      <c r="A66" s="17" t="n">
        <v>83.16</v>
      </c>
      <c r="B66" s="17" t="n">
        <v>97.22</v>
      </c>
      <c r="C66" s="18" t="inlineStr">
        <is>
          <t>b7</t>
        </is>
      </c>
      <c r="D66" s="18" t="inlineStr">
        <is>
          <t>Map data graphic</t>
        </is>
      </c>
      <c r="E66" s="18" t="inlineStr">
        <is>
          <t>Tornado track line</t>
        </is>
      </c>
      <c r="F66" s="18" t="inlineStr">
        <is>
          <t>Western Allendale Co Tornado — EF1, 110 mph, 3.20 mi, 350 yd (starts in SC; layer survey)</t>
        </is>
      </c>
      <c r="G66" s="18" t="inlineStr">
        <is>
          <t>Orange</t>
        </is>
      </c>
      <c r="H66" s="24" t="inlineStr">
        <is>
          <t>#FFA94D</t>
        </is>
      </c>
      <c r="I66" s="18" t="inlineStr">
        <is>
          <t>NWS Damage Assessment Toolkit (preliminary)</t>
        </is>
      </c>
      <c r="J66" s="18" t="inlineStr">
        <is>
          <t>Engine (auto)</t>
        </is>
      </c>
      <c r="K66" s="5">
        <f>B66-A66</f>
        <v/>
      </c>
      <c r="L66" s="2" t="inlineStr">
        <is>
          <t>1:23.2</t>
        </is>
      </c>
    </row>
    <row r="67">
      <c r="A67" s="17" t="n">
        <v>83.16</v>
      </c>
      <c r="B67" s="17" t="n">
        <v>97.22</v>
      </c>
      <c r="C67" s="18" t="inlineStr">
        <is>
          <t>b7</t>
        </is>
      </c>
      <c r="D67" s="18" t="inlineStr">
        <is>
          <t>Map data graphic</t>
        </is>
      </c>
      <c r="E67" s="18" t="inlineStr">
        <is>
          <t>Tornado track line</t>
        </is>
      </c>
      <c r="F67" s="18" t="inlineStr">
        <is>
          <t>Northern Allendale Tornado — EF1, 105 mph, 1.75 mi, 200 yd (starts in SC; layer survey)</t>
        </is>
      </c>
      <c r="G67" s="18" t="inlineStr">
        <is>
          <t>Orange</t>
        </is>
      </c>
      <c r="H67" s="24" t="inlineStr">
        <is>
          <t>#FFA94D</t>
        </is>
      </c>
      <c r="I67" s="18" t="inlineStr">
        <is>
          <t>NWS Damage Assessment Toolkit (preliminary)</t>
        </is>
      </c>
      <c r="J67" s="18" t="inlineStr">
        <is>
          <t>Engine (auto)</t>
        </is>
      </c>
      <c r="K67" s="5">
        <f>B67-A67</f>
        <v/>
      </c>
      <c r="L67" s="2" t="inlineStr">
        <is>
          <t>1:23.2</t>
        </is>
      </c>
    </row>
    <row r="68">
      <c r="A68" s="17" t="n">
        <v>83.16</v>
      </c>
      <c r="B68" s="17" t="n">
        <v>97.22</v>
      </c>
      <c r="C68" s="18" t="inlineStr">
        <is>
          <t>b7</t>
        </is>
      </c>
      <c r="D68" s="18" t="inlineStr">
        <is>
          <t>Map data graphic</t>
        </is>
      </c>
      <c r="E68" s="18" t="inlineStr">
        <is>
          <t>Tornado track line</t>
        </is>
      </c>
      <c r="F68" s="18" t="inlineStr">
        <is>
          <t>Kline Tornado — EF1, 95 mph, 1.96 mi, 100 yd (starts in SC; layer survey)</t>
        </is>
      </c>
      <c r="G68" s="18" t="inlineStr">
        <is>
          <t>Orange</t>
        </is>
      </c>
      <c r="H68" s="24" t="inlineStr">
        <is>
          <t>#FFA94D</t>
        </is>
      </c>
      <c r="I68" s="18" t="inlineStr">
        <is>
          <t>NWS Damage Assessment Toolkit (preliminary)</t>
        </is>
      </c>
      <c r="J68" s="18" t="inlineStr">
        <is>
          <t>Engine (auto)</t>
        </is>
      </c>
      <c r="K68" s="5">
        <f>B68-A68</f>
        <v/>
      </c>
      <c r="L68" s="2" t="inlineStr">
        <is>
          <t>1:23.2</t>
        </is>
      </c>
    </row>
    <row r="69">
      <c r="A69" s="17" t="n">
        <v>83.16</v>
      </c>
      <c r="B69" s="17" t="n">
        <v>97.22</v>
      </c>
      <c r="C69" s="18" t="inlineStr">
        <is>
          <t>b7</t>
        </is>
      </c>
      <c r="D69" s="18" t="inlineStr">
        <is>
          <t>Map data graphic</t>
        </is>
      </c>
      <c r="E69" s="18" t="inlineStr">
        <is>
          <t>Tornado track line</t>
        </is>
      </c>
      <c r="F69" s="18" t="inlineStr">
        <is>
          <t>Barnwell Tornado — EF2, 115 mph, 18.04 mi, 250 yd (starts in SC; layer survey)</t>
        </is>
      </c>
      <c r="G69" s="18" t="inlineStr">
        <is>
          <t>Red-orange</t>
        </is>
      </c>
      <c r="H69" s="25" t="inlineStr">
        <is>
          <t>#FF6B3D</t>
        </is>
      </c>
      <c r="I69" s="18" t="inlineStr">
        <is>
          <t>NWS Damage Assessment Toolkit (preliminary)</t>
        </is>
      </c>
      <c r="J69" s="18" t="inlineStr">
        <is>
          <t>Engine (auto)</t>
        </is>
      </c>
      <c r="K69" s="5">
        <f>B69-A69</f>
        <v/>
      </c>
      <c r="L69" s="2" t="inlineStr">
        <is>
          <t>1:23.2</t>
        </is>
      </c>
    </row>
    <row r="70">
      <c r="A70" s="17" t="n">
        <v>83.16</v>
      </c>
      <c r="B70" s="17" t="n">
        <v>97.22</v>
      </c>
      <c r="C70" s="18" t="inlineStr">
        <is>
          <t>b7</t>
        </is>
      </c>
      <c r="D70" s="18" t="inlineStr">
        <is>
          <t>Map data graphic</t>
        </is>
      </c>
      <c r="E70" s="18" t="inlineStr">
        <is>
          <t>Tornado track line</t>
        </is>
      </c>
      <c r="F70" s="18" t="inlineStr">
        <is>
          <t>Wagener Tornado — EF1, 105 mph, 3.22 mi, 150 yd (starts in SC; layer survey)</t>
        </is>
      </c>
      <c r="G70" s="18" t="inlineStr">
        <is>
          <t>Orange</t>
        </is>
      </c>
      <c r="H70" s="24" t="inlineStr">
        <is>
          <t>#FFA94D</t>
        </is>
      </c>
      <c r="I70" s="18" t="inlineStr">
        <is>
          <t>NWS Damage Assessment Toolkit (preliminary)</t>
        </is>
      </c>
      <c r="J70" s="18" t="inlineStr">
        <is>
          <t>Engine (auto)</t>
        </is>
      </c>
      <c r="K70" s="5">
        <f>B70-A70</f>
        <v/>
      </c>
      <c r="L70" s="2" t="inlineStr">
        <is>
          <t>1:23.2</t>
        </is>
      </c>
    </row>
    <row r="71">
      <c r="A71" s="17" t="n">
        <v>83.16</v>
      </c>
      <c r="B71" s="17" t="n">
        <v>97.22</v>
      </c>
      <c r="C71" s="18" t="inlineStr">
        <is>
          <t>b7</t>
        </is>
      </c>
      <c r="D71" s="18" t="inlineStr">
        <is>
          <t>Map data graphic</t>
        </is>
      </c>
      <c r="E71" s="18" t="inlineStr">
        <is>
          <t>Tornado track line</t>
        </is>
      </c>
      <c r="F71" s="18" t="inlineStr">
        <is>
          <t>Newberry tornado (unnamed in DAT) — EF2, 115 mph, 1.47 mi, 450 yd (starts in SC; layer survey)</t>
        </is>
      </c>
      <c r="G71" s="18" t="inlineStr">
        <is>
          <t>Red-orange</t>
        </is>
      </c>
      <c r="H71" s="25" t="inlineStr">
        <is>
          <t>#FF6B3D</t>
        </is>
      </c>
      <c r="I71" s="18" t="inlineStr">
        <is>
          <t>NWS Damage Assessment Toolkit (preliminary)</t>
        </is>
      </c>
      <c r="J71" s="18" t="inlineStr">
        <is>
          <t>Engine (auto)</t>
        </is>
      </c>
      <c r="K71" s="5">
        <f>B71-A71</f>
        <v/>
      </c>
      <c r="L71" s="2" t="inlineStr">
        <is>
          <t>1:23.2</t>
        </is>
      </c>
    </row>
    <row r="72">
      <c r="A72" s="17" t="n">
        <v>83.16</v>
      </c>
      <c r="B72" s="17" t="n">
        <v>97.22</v>
      </c>
      <c r="C72" s="18" t="inlineStr">
        <is>
          <t>b7</t>
        </is>
      </c>
      <c r="D72" s="18" t="inlineStr">
        <is>
          <t>Map data graphic</t>
        </is>
      </c>
      <c r="E72" s="18" t="inlineStr">
        <is>
          <t>Tornado track line</t>
        </is>
      </c>
      <c r="F72" s="18" t="inlineStr">
        <is>
          <t>(unnamed in DAT) — EF2, 115 mph, 5.30 mi, 150 yd (starts in NC; layer survey)</t>
        </is>
      </c>
      <c r="G72" s="18" t="inlineStr">
        <is>
          <t>Red-orange</t>
        </is>
      </c>
      <c r="H72" s="25" t="inlineStr">
        <is>
          <t>#FF6B3D</t>
        </is>
      </c>
      <c r="I72" s="18" t="inlineStr">
        <is>
          <t>NWS Damage Assessment Toolkit (preliminary)</t>
        </is>
      </c>
      <c r="J72" s="18" t="inlineStr">
        <is>
          <t>Engine (auto)</t>
        </is>
      </c>
      <c r="K72" s="5">
        <f>B72-A72</f>
        <v/>
      </c>
      <c r="L72" s="2" t="inlineStr">
        <is>
          <t>1:23.2</t>
        </is>
      </c>
    </row>
    <row r="73">
      <c r="A73" s="17" t="n">
        <v>83.16</v>
      </c>
      <c r="B73" s="17" t="n">
        <v>97.22</v>
      </c>
      <c r="C73" s="18" t="inlineStr">
        <is>
          <t>b7</t>
        </is>
      </c>
      <c r="D73" s="18" t="inlineStr">
        <is>
          <t>Map data graphic</t>
        </is>
      </c>
      <c r="E73" s="18" t="inlineStr">
        <is>
          <t>Tornado track line</t>
        </is>
      </c>
      <c r="F73" s="18" t="inlineStr">
        <is>
          <t>Clarendon Tornado — EF0, 80 mph, 0.13 mi, 20 yd (starts in NC; layer survey)</t>
        </is>
      </c>
      <c r="G73" s="18" t="inlineStr">
        <is>
          <t>Yellow</t>
        </is>
      </c>
      <c r="H73" s="23" t="inlineStr">
        <is>
          <t>#FFE066</t>
        </is>
      </c>
      <c r="I73" s="18" t="inlineStr">
        <is>
          <t>NWS Damage Assessment Toolkit (preliminary)</t>
        </is>
      </c>
      <c r="J73" s="18" t="inlineStr">
        <is>
          <t>Engine (auto)</t>
        </is>
      </c>
      <c r="K73" s="5">
        <f>B73-A73</f>
        <v/>
      </c>
      <c r="L73" s="2" t="inlineStr">
        <is>
          <t>1:23.2</t>
        </is>
      </c>
    </row>
    <row r="74">
      <c r="A74" s="17" t="n">
        <v>83.16</v>
      </c>
      <c r="B74" s="17" t="n">
        <v>97.22</v>
      </c>
      <c r="C74" s="18" t="inlineStr">
        <is>
          <t>b7</t>
        </is>
      </c>
      <c r="D74" s="18" t="inlineStr">
        <is>
          <t>Map data graphic</t>
        </is>
      </c>
      <c r="E74" s="18" t="inlineStr">
        <is>
          <t>Track label chip</t>
        </is>
      </c>
      <c r="F74" s="18" t="inlineStr">
        <is>
          <t>EF2 · 115 MPH · 1.47 MI · 450 YD</t>
        </is>
      </c>
      <c r="G74" s="18" t="inlineStr">
        <is>
          <t>Red-orange</t>
        </is>
      </c>
      <c r="H74" s="25" t="inlineStr">
        <is>
          <t>#FF6B3D</t>
        </is>
      </c>
      <c r="I74" s="18" t="inlineStr">
        <is>
          <t>NWS Damage Assessment Toolkit (preliminary)</t>
        </is>
      </c>
      <c r="J74" s="18" t="inlineStr">
        <is>
          <t>Engine (auto)</t>
        </is>
      </c>
      <c r="K74" s="5">
        <f>B74-A74</f>
        <v/>
      </c>
      <c r="L74" s="2" t="inlineStr">
        <is>
          <t>1:23.2</t>
        </is>
      </c>
    </row>
    <row r="75">
      <c r="A75" s="17" t="n">
        <v>83.16</v>
      </c>
      <c r="B75" s="17" t="n">
        <v>97.22</v>
      </c>
      <c r="C75" s="18" t="inlineStr">
        <is>
          <t>b7</t>
        </is>
      </c>
      <c r="D75" s="18" t="inlineStr">
        <is>
          <t>Source line</t>
        </is>
      </c>
      <c r="E75" s="18" t="inlineStr">
        <is>
          <t>Source line (bottom text)</t>
        </is>
      </c>
      <c r="F75" s="18" t="inlineStr">
        <is>
          <t>Tornado surveys: NWS Damage Assessment Toolkit, preliminary</t>
        </is>
      </c>
      <c r="G75" s="18" t="inlineStr">
        <is>
          <t>White text</t>
        </is>
      </c>
      <c r="H75" s="26" t="inlineStr">
        <is>
          <t>#FFFFFF</t>
        </is>
      </c>
      <c r="I75" s="18" t="inlineStr">
        <is>
          <t>—</t>
        </is>
      </c>
      <c r="J75" s="18" t="inlineStr">
        <is>
          <t>Engine (auto)</t>
        </is>
      </c>
      <c r="K75" s="5">
        <f>B75-A75</f>
        <v/>
      </c>
      <c r="L75" s="2" t="inlineStr">
        <is>
          <t>1:23.2</t>
        </is>
      </c>
    </row>
    <row r="76">
      <c r="A76" s="17" t="n">
        <v>86.64</v>
      </c>
      <c r="B76" s="17" t="n">
        <v>91.95999999999999</v>
      </c>
      <c r="C76" s="18" t="inlineStr">
        <is>
          <t>b7</t>
        </is>
      </c>
      <c r="D76" s="18" t="inlineStr">
        <is>
          <t>Footage</t>
        </is>
      </c>
      <c r="E76" s="18" t="inlineStr">
        <is>
          <t>Stock video clip</t>
        </is>
      </c>
      <c r="F76" s="18" t="inlineStr">
        <is>
          <t>006.mp4</t>
        </is>
      </c>
      <c r="G76" s="18" t="inlineStr">
        <is>
          <t>Full colour (video)</t>
        </is>
      </c>
      <c r="H76" s="18" t="inlineStr"/>
      <c r="I76" s="18" t="inlineStr">
        <is>
          <t>Pexels stock video</t>
        </is>
      </c>
      <c r="J76" s="18" t="inlineStr">
        <is>
          <t>Your plan / Teamplate cutaway</t>
        </is>
      </c>
      <c r="K76" s="5">
        <f>B76-A76</f>
        <v/>
      </c>
      <c r="L76" s="2" t="inlineStr">
        <is>
          <t>1:26.6</t>
        </is>
      </c>
    </row>
    <row r="77">
      <c r="A77" s="17" t="n">
        <v>91.92</v>
      </c>
      <c r="B77" s="17" t="n">
        <v>97.23999999999999</v>
      </c>
      <c r="C77" s="18" t="inlineStr">
        <is>
          <t>b7_x3</t>
        </is>
      </c>
      <c r="D77" s="18" t="inlineStr">
        <is>
          <t>Footage</t>
        </is>
      </c>
      <c r="E77" s="18" t="inlineStr">
        <is>
          <t>Stock video clip</t>
        </is>
      </c>
      <c r="F77" s="18" t="inlineStr">
        <is>
          <t>007.mp4</t>
        </is>
      </c>
      <c r="G77" s="18" t="inlineStr">
        <is>
          <t>Full colour (video)</t>
        </is>
      </c>
      <c r="H77" s="18" t="inlineStr"/>
      <c r="I77" s="18" t="inlineStr">
        <is>
          <t>Pexels stock video</t>
        </is>
      </c>
      <c r="J77" s="18" t="inlineStr">
        <is>
          <t>Your plan / Teamplate cutaway</t>
        </is>
      </c>
      <c r="K77" s="5">
        <f>B77-A77</f>
        <v/>
      </c>
      <c r="L77" s="2" t="inlineStr">
        <is>
          <t>1:31.9</t>
        </is>
      </c>
    </row>
    <row r="78">
      <c r="A78" s="17" t="n">
        <v>97.2</v>
      </c>
      <c r="B78" s="17" t="n">
        <v>104.57</v>
      </c>
      <c r="C78" s="18" t="inlineStr">
        <is>
          <t>b7_x3</t>
        </is>
      </c>
      <c r="D78" s="18" t="inlineStr">
        <is>
          <t>Footage</t>
        </is>
      </c>
      <c r="E78" s="18" t="inlineStr">
        <is>
          <t>Stock video clip</t>
        </is>
      </c>
      <c r="F78" s="18" t="inlineStr">
        <is>
          <t>008.mp4</t>
        </is>
      </c>
      <c r="G78" s="18" t="inlineStr">
        <is>
          <t>Full colour (video)</t>
        </is>
      </c>
      <c r="H78" s="18" t="inlineStr"/>
      <c r="I78" s="18" t="inlineStr">
        <is>
          <t>Pexels stock video</t>
        </is>
      </c>
      <c r="J78" s="18" t="inlineStr">
        <is>
          <t>Your plan (footage beat)</t>
        </is>
      </c>
      <c r="K78" s="5">
        <f>B78-A78</f>
        <v/>
      </c>
      <c r="L78" s="2" t="inlineStr">
        <is>
          <t>1:37.2</t>
        </is>
      </c>
    </row>
    <row r="79">
      <c r="A79" s="17" t="n">
        <v>104.54</v>
      </c>
      <c r="B79" s="17" t="n">
        <v>111.9</v>
      </c>
      <c r="C79" s="18" t="inlineStr">
        <is>
          <t>b8</t>
        </is>
      </c>
      <c r="D79" s="18" t="inlineStr">
        <is>
          <t>Footage</t>
        </is>
      </c>
      <c r="E79" s="18" t="inlineStr">
        <is>
          <t>Stock video clip</t>
        </is>
      </c>
      <c r="F79" s="18" t="inlineStr">
        <is>
          <t>009.mp4</t>
        </is>
      </c>
      <c r="G79" s="18" t="inlineStr">
        <is>
          <t>Full colour (video)</t>
        </is>
      </c>
      <c r="H79" s="18" t="inlineStr"/>
      <c r="I79" s="18" t="inlineStr">
        <is>
          <t>Pexels stock video</t>
        </is>
      </c>
      <c r="J79" s="18" t="inlineStr">
        <is>
          <t>Your plan (footage beat)</t>
        </is>
      </c>
      <c r="K79" s="5">
        <f>B79-A79</f>
        <v/>
      </c>
      <c r="L79" s="2" t="inlineStr">
        <is>
          <t>1:44.5</t>
        </is>
      </c>
    </row>
    <row r="80">
      <c r="A80" s="17" t="n">
        <v>111.87</v>
      </c>
      <c r="B80" s="17" t="n">
        <v>119.24</v>
      </c>
      <c r="C80" s="18" t="inlineStr">
        <is>
          <t>b8</t>
        </is>
      </c>
      <c r="D80" s="18" t="inlineStr">
        <is>
          <t>Footage</t>
        </is>
      </c>
      <c r="E80" s="18" t="inlineStr">
        <is>
          <t>Stock video clip</t>
        </is>
      </c>
      <c r="F80" s="18" t="inlineStr">
        <is>
          <t>010.mp4</t>
        </is>
      </c>
      <c r="G80" s="18" t="inlineStr">
        <is>
          <t>Full colour (video)</t>
        </is>
      </c>
      <c r="H80" s="18" t="inlineStr"/>
      <c r="I80" s="18" t="inlineStr">
        <is>
          <t>Pexels stock video</t>
        </is>
      </c>
      <c r="J80" s="18" t="inlineStr">
        <is>
          <t>Your plan (footage beat)</t>
        </is>
      </c>
      <c r="K80" s="5">
        <f>B80-A80</f>
        <v/>
      </c>
      <c r="L80" s="2" t="inlineStr">
        <is>
          <t>1:51.9</t>
        </is>
      </c>
    </row>
    <row r="81">
      <c r="A81" s="17" t="n">
        <v>119.54</v>
      </c>
      <c r="B81" s="17" t="n">
        <v>129.54</v>
      </c>
      <c r="C81" s="18" t="inlineStr">
        <is>
          <t>b9</t>
        </is>
      </c>
      <c r="D81" s="18" t="inlineStr">
        <is>
          <t>Camera move</t>
        </is>
      </c>
      <c r="E81" s="18" t="inlineStr">
        <is>
          <t>Camera ease back out</t>
        </is>
      </c>
      <c r="F81" s="18" t="inlineStr">
        <is>
          <t>same place</t>
        </is>
      </c>
      <c r="G81" s="18" t="inlineStr">
        <is>
          <t>—</t>
        </is>
      </c>
      <c r="H81" s="18" t="inlineStr"/>
      <c r="I81" s="18" t="inlineStr">
        <is>
          <t>—</t>
        </is>
      </c>
      <c r="J81" s="18" t="inlineStr">
        <is>
          <t>Your plan</t>
        </is>
      </c>
      <c r="K81" s="5">
        <f>B81-A81</f>
        <v/>
      </c>
      <c r="L81" s="2" t="inlineStr">
        <is>
          <t>1:59.5</t>
        </is>
      </c>
    </row>
    <row r="82">
      <c r="A82" s="17" t="n">
        <v>126.98</v>
      </c>
      <c r="B82" s="17" t="n">
        <v>136.92</v>
      </c>
      <c r="C82" s="18" t="inlineStr">
        <is>
          <t>b9</t>
        </is>
      </c>
      <c r="D82" s="18" t="inlineStr">
        <is>
          <t>Map label</t>
        </is>
      </c>
      <c r="E82" s="18" t="inlineStr">
        <is>
          <t>Place label (dot + name)</t>
        </is>
      </c>
      <c r="F82" s="18" t="inlineStr">
        <is>
          <t>NEWBERRY COUNTY</t>
        </is>
      </c>
      <c r="G82" s="18" t="inlineStr">
        <is>
          <t>Orange tag</t>
        </is>
      </c>
      <c r="H82" s="19" t="inlineStr">
        <is>
          <t>#E8552B</t>
        </is>
      </c>
      <c r="I82" s="18" t="inlineStr">
        <is>
          <t>US county outlines (bundled)</t>
        </is>
      </c>
      <c r="J82" s="18" t="inlineStr">
        <is>
          <t>Engine (auto)</t>
        </is>
      </c>
      <c r="K82" s="5">
        <f>B82-A82</f>
        <v/>
      </c>
      <c r="L82" s="2" t="inlineStr">
        <is>
          <t>2:07.0</t>
        </is>
      </c>
    </row>
    <row r="83">
      <c r="A83" s="17" t="n">
        <v>130.46</v>
      </c>
      <c r="B83" s="17" t="n">
        <v>136.94</v>
      </c>
      <c r="C83" s="18" t="inlineStr">
        <is>
          <t>b9</t>
        </is>
      </c>
      <c r="D83" s="18" t="inlineStr">
        <is>
          <t>Footage</t>
        </is>
      </c>
      <c r="E83" s="18" t="inlineStr">
        <is>
          <t>Stock video clip</t>
        </is>
      </c>
      <c r="F83" s="18" t="inlineStr">
        <is>
          <t>011.mp4</t>
        </is>
      </c>
      <c r="G83" s="18" t="inlineStr">
        <is>
          <t>Full colour (video)</t>
        </is>
      </c>
      <c r="H83" s="18" t="inlineStr"/>
      <c r="I83" s="18" t="inlineStr">
        <is>
          <t>Pexels stock video</t>
        </is>
      </c>
      <c r="J83" s="18" t="inlineStr">
        <is>
          <t>Your plan / Teamplate cutaway</t>
        </is>
      </c>
      <c r="K83" s="5">
        <f>B83-A83</f>
        <v/>
      </c>
      <c r="L83" s="2" t="inlineStr">
        <is>
          <t>2:10.5</t>
        </is>
      </c>
    </row>
    <row r="84">
      <c r="A84" s="17" t="n">
        <v>136.9</v>
      </c>
      <c r="B84" s="17" t="n">
        <v>142.68</v>
      </c>
      <c r="C84" s="18" t="inlineStr">
        <is>
          <t>b9_x4</t>
        </is>
      </c>
      <c r="D84" s="18" t="inlineStr">
        <is>
          <t>Footage</t>
        </is>
      </c>
      <c r="E84" s="18" t="inlineStr">
        <is>
          <t>Stock video clip</t>
        </is>
      </c>
      <c r="F84" s="18" t="inlineStr">
        <is>
          <t>012.mp4</t>
        </is>
      </c>
      <c r="G84" s="18" t="inlineStr">
        <is>
          <t>Full colour (video)</t>
        </is>
      </c>
      <c r="H84" s="18" t="inlineStr"/>
      <c r="I84" s="18" t="inlineStr">
        <is>
          <t>Pexels stock video</t>
        </is>
      </c>
      <c r="J84" s="18" t="inlineStr">
        <is>
          <t>Your plan (footage beat)</t>
        </is>
      </c>
      <c r="K84" s="5">
        <f>B84-A84</f>
        <v/>
      </c>
      <c r="L84" s="2" t="inlineStr">
        <is>
          <t>2:16.9</t>
        </is>
      </c>
    </row>
    <row r="85">
      <c r="A85" s="17" t="n">
        <v>142.65</v>
      </c>
      <c r="B85" s="17" t="n">
        <v>148.43</v>
      </c>
      <c r="C85" s="18" t="inlineStr">
        <is>
          <t>b10</t>
        </is>
      </c>
      <c r="D85" s="18" t="inlineStr">
        <is>
          <t>Footage</t>
        </is>
      </c>
      <c r="E85" s="18" t="inlineStr">
        <is>
          <t>Stock video clip</t>
        </is>
      </c>
      <c r="F85" s="18" t="inlineStr">
        <is>
          <t>013.mp4</t>
        </is>
      </c>
      <c r="G85" s="18" t="inlineStr">
        <is>
          <t>Full colour (video)</t>
        </is>
      </c>
      <c r="H85" s="18" t="inlineStr"/>
      <c r="I85" s="18" t="inlineStr">
        <is>
          <t>Pexels stock video</t>
        </is>
      </c>
      <c r="J85" s="18" t="inlineStr">
        <is>
          <t>Your plan (footage beat)</t>
        </is>
      </c>
      <c r="K85" s="5">
        <f>B85-A85</f>
        <v/>
      </c>
      <c r="L85" s="2" t="inlineStr">
        <is>
          <t>2:22.7</t>
        </is>
      </c>
    </row>
    <row r="86">
      <c r="A86" s="17" t="n">
        <v>148.4</v>
      </c>
      <c r="B86" s="17" t="n">
        <v>154.18</v>
      </c>
      <c r="C86" s="18" t="inlineStr">
        <is>
          <t>b10</t>
        </is>
      </c>
      <c r="D86" s="18" t="inlineStr">
        <is>
          <t>Footage</t>
        </is>
      </c>
      <c r="E86" s="18" t="inlineStr">
        <is>
          <t>Stock video clip</t>
        </is>
      </c>
      <c r="F86" s="18" t="inlineStr">
        <is>
          <t>014.mp4</t>
        </is>
      </c>
      <c r="G86" s="18" t="inlineStr">
        <is>
          <t>Full colour (video)</t>
        </is>
      </c>
      <c r="H86" s="18" t="inlineStr"/>
      <c r="I86" s="18" t="inlineStr">
        <is>
          <t>Pexels stock video</t>
        </is>
      </c>
      <c r="J86" s="18" t="inlineStr">
        <is>
          <t>Your plan (footage beat)</t>
        </is>
      </c>
      <c r="K86" s="5">
        <f>B86-A86</f>
        <v/>
      </c>
      <c r="L86" s="2" t="inlineStr">
        <is>
          <t>2:28.4</t>
        </is>
      </c>
    </row>
    <row r="87">
      <c r="A87" s="17" t="n">
        <v>154.14</v>
      </c>
      <c r="B87" s="17" t="n">
        <v>159.12</v>
      </c>
      <c r="C87" s="18" t="inlineStr">
        <is>
          <t>b10</t>
        </is>
      </c>
      <c r="D87" s="18" t="inlineStr">
        <is>
          <t>Footage</t>
        </is>
      </c>
      <c r="E87" s="18" t="inlineStr">
        <is>
          <t>Stock video clip</t>
        </is>
      </c>
      <c r="F87" s="18" t="inlineStr">
        <is>
          <t>015.mp4</t>
        </is>
      </c>
      <c r="G87" s="18" t="inlineStr">
        <is>
          <t>Full colour (video)</t>
        </is>
      </c>
      <c r="H87" s="18" t="inlineStr"/>
      <c r="I87" s="18" t="inlineStr">
        <is>
          <t>Pexels stock video</t>
        </is>
      </c>
      <c r="J87" s="18" t="inlineStr">
        <is>
          <t>Your plan (footage beat)</t>
        </is>
      </c>
      <c r="K87" s="5">
        <f>B87-A87</f>
        <v/>
      </c>
      <c r="L87" s="2" t="inlineStr">
        <is>
          <t>2:34.1</t>
        </is>
      </c>
    </row>
    <row r="88">
      <c r="A88" s="17" t="n">
        <v>159.09</v>
      </c>
      <c r="B88" s="17" t="n">
        <v>164.07</v>
      </c>
      <c r="C88" s="18" t="inlineStr">
        <is>
          <t>b11</t>
        </is>
      </c>
      <c r="D88" s="18" t="inlineStr">
        <is>
          <t>Footage</t>
        </is>
      </c>
      <c r="E88" s="18" t="inlineStr">
        <is>
          <t>Stock video clip</t>
        </is>
      </c>
      <c r="F88" s="18" t="inlineStr">
        <is>
          <t>016.mp4</t>
        </is>
      </c>
      <c r="G88" s="18" t="inlineStr">
        <is>
          <t>Full colour (video)</t>
        </is>
      </c>
      <c r="H88" s="18" t="inlineStr"/>
      <c r="I88" s="18" t="inlineStr">
        <is>
          <t>Pexels stock video</t>
        </is>
      </c>
      <c r="J88" s="18" t="inlineStr">
        <is>
          <t>Your plan (footage beat)</t>
        </is>
      </c>
      <c r="K88" s="5">
        <f>B88-A88</f>
        <v/>
      </c>
      <c r="L88" s="2" t="inlineStr">
        <is>
          <t>2:39.1</t>
        </is>
      </c>
    </row>
    <row r="89">
      <c r="A89" s="17" t="n">
        <v>164.04</v>
      </c>
      <c r="B89" s="17" t="n">
        <v>169.02</v>
      </c>
      <c r="C89" s="18" t="inlineStr">
        <is>
          <t>b11</t>
        </is>
      </c>
      <c r="D89" s="18" t="inlineStr">
        <is>
          <t>Footage</t>
        </is>
      </c>
      <c r="E89" s="18" t="inlineStr">
        <is>
          <t>Stock video clip</t>
        </is>
      </c>
      <c r="F89" s="18" t="inlineStr">
        <is>
          <t>017.mp4</t>
        </is>
      </c>
      <c r="G89" s="18" t="inlineStr">
        <is>
          <t>Full colour (video)</t>
        </is>
      </c>
      <c r="H89" s="18" t="inlineStr"/>
      <c r="I89" s="18" t="inlineStr">
        <is>
          <t>Pexels stock video</t>
        </is>
      </c>
      <c r="J89" s="18" t="inlineStr">
        <is>
          <t>Your plan (footage beat)</t>
        </is>
      </c>
      <c r="K89" s="5">
        <f>B89-A89</f>
        <v/>
      </c>
      <c r="L89" s="2" t="inlineStr">
        <is>
          <t>2:44.0</t>
        </is>
      </c>
    </row>
    <row r="90">
      <c r="A90" s="17" t="n">
        <v>169.55</v>
      </c>
      <c r="B90" s="17" t="n">
        <v>171.95</v>
      </c>
      <c r="C90" s="18" t="inlineStr">
        <is>
          <t>b12</t>
        </is>
      </c>
      <c r="D90" s="18" t="inlineStr">
        <is>
          <t>Camera move</t>
        </is>
      </c>
      <c r="E90" s="18" t="inlineStr">
        <is>
          <t>Camera fly to place</t>
        </is>
      </c>
      <c r="F90" s="18" t="inlineStr">
        <is>
          <t>South Carolina</t>
        </is>
      </c>
      <c r="G90" s="18" t="inlineStr">
        <is>
          <t>—</t>
        </is>
      </c>
      <c r="H90" s="18" t="inlineStr"/>
      <c r="I90" s="18" t="inlineStr">
        <is>
          <t>—</t>
        </is>
      </c>
      <c r="J90" s="18" t="inlineStr">
        <is>
          <t>Your plan</t>
        </is>
      </c>
      <c r="K90" s="5">
        <f>B90-A90</f>
        <v/>
      </c>
      <c r="L90" s="2" t="inlineStr">
        <is>
          <t>2:49.6</t>
        </is>
      </c>
    </row>
    <row r="91">
      <c r="A91" s="17" t="n">
        <v>172.25</v>
      </c>
      <c r="B91" s="17" t="n">
        <v>179.08</v>
      </c>
      <c r="C91" s="18" t="inlineStr">
        <is>
          <t>b12</t>
        </is>
      </c>
      <c r="D91" s="18" t="inlineStr">
        <is>
          <t>Camera move</t>
        </is>
      </c>
      <c r="E91" s="18" t="inlineStr">
        <is>
          <t>Camera slow push in</t>
        </is>
      </c>
      <c r="F91" s="18" t="inlineStr">
        <is>
          <t>same place</t>
        </is>
      </c>
      <c r="G91" s="18" t="inlineStr">
        <is>
          <t>—</t>
        </is>
      </c>
      <c r="H91" s="18" t="inlineStr"/>
      <c r="I91" s="18" t="inlineStr">
        <is>
          <t>—</t>
        </is>
      </c>
      <c r="J91" s="18" t="inlineStr">
        <is>
          <t>Your plan</t>
        </is>
      </c>
      <c r="K91" s="5">
        <f>B91-A91</f>
        <v/>
      </c>
      <c r="L91" s="2" t="inlineStr">
        <is>
          <t>2:52.2</t>
        </is>
      </c>
    </row>
    <row r="92">
      <c r="A92" s="17" t="n">
        <v>179.68</v>
      </c>
      <c r="B92" s="17" t="n">
        <v>189.68</v>
      </c>
      <c r="C92" s="18" t="inlineStr">
        <is>
          <t>b13</t>
        </is>
      </c>
      <c r="D92" s="18" t="inlineStr">
        <is>
          <t>Camera move</t>
        </is>
      </c>
      <c r="E92" s="18" t="inlineStr">
        <is>
          <t>Camera ease back out</t>
        </is>
      </c>
      <c r="F92" s="18" t="inlineStr">
        <is>
          <t>same place</t>
        </is>
      </c>
      <c r="G92" s="18" t="inlineStr">
        <is>
          <t>—</t>
        </is>
      </c>
      <c r="H92" s="18" t="inlineStr"/>
      <c r="I92" s="18" t="inlineStr">
        <is>
          <t>—</t>
        </is>
      </c>
      <c r="J92" s="18" t="inlineStr">
        <is>
          <t>Your plan</t>
        </is>
      </c>
      <c r="K92" s="5">
        <f>B92-A92</f>
        <v/>
      </c>
      <c r="L92" s="2" t="inlineStr">
        <is>
          <t>2:59.7</t>
        </is>
      </c>
    </row>
    <row r="93">
      <c r="A93" s="17" t="n">
        <v>189.68</v>
      </c>
      <c r="B93" s="17" t="n">
        <v>193.76</v>
      </c>
      <c r="C93" s="18" t="inlineStr">
        <is>
          <t>b13</t>
        </is>
      </c>
      <c r="D93" s="18" t="inlineStr">
        <is>
          <t>Camera move</t>
        </is>
      </c>
      <c r="E93" s="18" t="inlineStr">
        <is>
          <t>Camera slow push in</t>
        </is>
      </c>
      <c r="F93" s="18" t="inlineStr">
        <is>
          <t>same place</t>
        </is>
      </c>
      <c r="G93" s="18" t="inlineStr">
        <is>
          <t>—</t>
        </is>
      </c>
      <c r="H93" s="18" t="inlineStr"/>
      <c r="I93" s="18" t="inlineStr">
        <is>
          <t>—</t>
        </is>
      </c>
      <c r="J93" s="18" t="inlineStr">
        <is>
          <t>Your plan</t>
        </is>
      </c>
      <c r="K93" s="5">
        <f>B93-A93</f>
        <v/>
      </c>
      <c r="L93" s="2" t="inlineStr">
        <is>
          <t>3:09.7</t>
        </is>
      </c>
    </row>
    <row r="94">
      <c r="A94" s="17" t="n">
        <v>194.11</v>
      </c>
      <c r="B94" s="17" t="n">
        <v>197.76</v>
      </c>
      <c r="C94" s="18" t="inlineStr">
        <is>
          <t>b14</t>
        </is>
      </c>
      <c r="D94" s="18" t="inlineStr">
        <is>
          <t>Transition / effect</t>
        </is>
      </c>
      <c r="E94" s="18" t="inlineStr">
        <is>
          <t>Dip to dark (transition)</t>
        </is>
      </c>
      <c r="F94" s="18" t="inlineStr">
        <is>
          <t>between map and title card</t>
        </is>
      </c>
      <c r="G94" s="18" t="inlineStr">
        <is>
          <t>Black</t>
        </is>
      </c>
      <c r="H94" s="21" t="inlineStr">
        <is>
          <t>#000000</t>
        </is>
      </c>
      <c r="I94" s="18" t="inlineStr">
        <is>
          <t>—</t>
        </is>
      </c>
      <c r="J94" s="18" t="inlineStr">
        <is>
          <t>Teamplate style</t>
        </is>
      </c>
      <c r="K94" s="5">
        <f>B94-A94</f>
        <v/>
      </c>
      <c r="L94" s="2" t="inlineStr">
        <is>
          <t>3:14.1</t>
        </is>
      </c>
    </row>
    <row r="95">
      <c r="A95" s="17" t="n">
        <v>194.21</v>
      </c>
      <c r="B95" s="17" t="n">
        <v>197.41</v>
      </c>
      <c r="C95" s="18" t="inlineStr">
        <is>
          <t>b14</t>
        </is>
      </c>
      <c r="D95" s="18" t="inlineStr">
        <is>
          <t>Text card</t>
        </is>
      </c>
      <c r="E95" s="18" t="inlineStr">
        <is>
          <t>Keyword title card</t>
        </is>
      </c>
      <c r="F95" s="18" t="inlineStr">
        <is>
          <t>THE EF SCALE</t>
        </is>
      </c>
      <c r="G95" s="18" t="inlineStr">
        <is>
          <t>White + red highlight</t>
        </is>
      </c>
      <c r="H95" s="20" t="inlineStr">
        <is>
          <t>#D3122B</t>
        </is>
      </c>
      <c r="I95" s="18" t="inlineStr">
        <is>
          <t>—</t>
        </is>
      </c>
      <c r="J95" s="18" t="inlineStr">
        <is>
          <t>Your plan (hud_title) in Teamplate style</t>
        </is>
      </c>
      <c r="K95" s="5">
        <f>B95-A95</f>
        <v/>
      </c>
      <c r="L95" s="2" t="inlineStr">
        <is>
          <t>3:14.2</t>
        </is>
      </c>
    </row>
    <row r="96">
      <c r="A96" s="17" t="n">
        <v>194.36</v>
      </c>
      <c r="B96" s="17" t="n">
        <v>204.36</v>
      </c>
      <c r="C96" s="18" t="inlineStr">
        <is>
          <t>b14</t>
        </is>
      </c>
      <c r="D96" s="18" t="inlineStr">
        <is>
          <t>Camera move</t>
        </is>
      </c>
      <c r="E96" s="18" t="inlineStr">
        <is>
          <t>Camera ease back out</t>
        </is>
      </c>
      <c r="F96" s="18" t="inlineStr">
        <is>
          <t>same place</t>
        </is>
      </c>
      <c r="G96" s="18" t="inlineStr">
        <is>
          <t>—</t>
        </is>
      </c>
      <c r="H96" s="18" t="inlineStr"/>
      <c r="I96" s="18" t="inlineStr">
        <is>
          <t>—</t>
        </is>
      </c>
      <c r="J96" s="18" t="inlineStr">
        <is>
          <t>Your plan</t>
        </is>
      </c>
      <c r="K96" s="5">
        <f>B96-A96</f>
        <v/>
      </c>
      <c r="L96" s="2" t="inlineStr">
        <is>
          <t>3:14.4</t>
        </is>
      </c>
    </row>
    <row r="97">
      <c r="A97" s="17" t="n">
        <v>197.51</v>
      </c>
      <c r="B97" s="17" t="n">
        <v>209.51</v>
      </c>
      <c r="C97" s="18" t="inlineStr">
        <is>
          <t>b14</t>
        </is>
      </c>
      <c r="D97" s="18" t="inlineStr">
        <is>
          <t>Text card</t>
        </is>
      </c>
      <c r="E97" s="18" t="inlineStr">
        <is>
          <t>Place tag (top)</t>
        </is>
      </c>
      <c r="F97" s="18" t="inlineStr">
        <is>
          <t>ENHANCED FUJITA</t>
        </is>
      </c>
      <c r="G97" s="18" t="inlineStr">
        <is>
          <t>Black tag, white text</t>
        </is>
      </c>
      <c r="H97" s="22" t="inlineStr">
        <is>
          <t>#111111</t>
        </is>
      </c>
      <c r="I97" s="18" t="inlineStr">
        <is>
          <t>—</t>
        </is>
      </c>
      <c r="J97" s="18" t="inlineStr">
        <is>
          <t>Teamplate style</t>
        </is>
      </c>
      <c r="K97" s="5">
        <f>B97-A97</f>
        <v/>
      </c>
      <c r="L97" s="2" t="inlineStr">
        <is>
          <t>3:17.5</t>
        </is>
      </c>
    </row>
    <row r="98">
      <c r="A98" s="17" t="n">
        <v>204.36</v>
      </c>
      <c r="B98" s="17" t="n">
        <v>212.9</v>
      </c>
      <c r="C98" s="18" t="inlineStr">
        <is>
          <t>b14</t>
        </is>
      </c>
      <c r="D98" s="18" t="inlineStr">
        <is>
          <t>Camera move</t>
        </is>
      </c>
      <c r="E98" s="18" t="inlineStr">
        <is>
          <t>Camera slow push in</t>
        </is>
      </c>
      <c r="F98" s="18" t="inlineStr">
        <is>
          <t>same place</t>
        </is>
      </c>
      <c r="G98" s="18" t="inlineStr">
        <is>
          <t>—</t>
        </is>
      </c>
      <c r="H98" s="18" t="inlineStr"/>
      <c r="I98" s="18" t="inlineStr">
        <is>
          <t>—</t>
        </is>
      </c>
      <c r="J98" s="18" t="inlineStr">
        <is>
          <t>Your plan</t>
        </is>
      </c>
      <c r="K98" s="5">
        <f>B98-A98</f>
        <v/>
      </c>
      <c r="L98" s="2" t="inlineStr">
        <is>
          <t>3:24.4</t>
        </is>
      </c>
    </row>
    <row r="99">
      <c r="A99" s="17" t="n">
        <v>213.5</v>
      </c>
      <c r="B99" s="17" t="n">
        <v>221.66</v>
      </c>
      <c r="C99" s="18" t="inlineStr">
        <is>
          <t>b15</t>
        </is>
      </c>
      <c r="D99" s="18" t="inlineStr">
        <is>
          <t>Camera move</t>
        </is>
      </c>
      <c r="E99" s="18" t="inlineStr">
        <is>
          <t>Camera ease back out</t>
        </is>
      </c>
      <c r="F99" s="18" t="inlineStr">
        <is>
          <t>same place</t>
        </is>
      </c>
      <c r="G99" s="18" t="inlineStr">
        <is>
          <t>—</t>
        </is>
      </c>
      <c r="H99" s="18" t="inlineStr"/>
      <c r="I99" s="18" t="inlineStr">
        <is>
          <t>—</t>
        </is>
      </c>
      <c r="J99" s="18" t="inlineStr">
        <is>
          <t>Your plan</t>
        </is>
      </c>
      <c r="K99" s="5">
        <f>B99-A99</f>
        <v/>
      </c>
      <c r="L99" s="2" t="inlineStr">
        <is>
          <t>3:33.5</t>
        </is>
      </c>
    </row>
    <row r="100">
      <c r="A100" s="17" t="n">
        <v>221.96</v>
      </c>
      <c r="B100" s="17" t="n">
        <v>230.98</v>
      </c>
      <c r="C100" s="18" t="inlineStr">
        <is>
          <t>b15</t>
        </is>
      </c>
      <c r="D100" s="18" t="inlineStr">
        <is>
          <t>Footage</t>
        </is>
      </c>
      <c r="E100" s="18" t="inlineStr">
        <is>
          <t>Stock video clip</t>
        </is>
      </c>
      <c r="F100" s="18" t="inlineStr">
        <is>
          <t>018.mp4</t>
        </is>
      </c>
      <c r="G100" s="18" t="inlineStr">
        <is>
          <t>Full colour (video)</t>
        </is>
      </c>
      <c r="H100" s="18" t="inlineStr"/>
      <c r="I100" s="18" t="inlineStr">
        <is>
          <t>Pexels stock video</t>
        </is>
      </c>
      <c r="J100" s="18" t="inlineStr">
        <is>
          <t>Your plan / Teamplate cutaway</t>
        </is>
      </c>
      <c r="K100" s="5">
        <f>B100-A100</f>
        <v/>
      </c>
      <c r="L100" s="2" t="inlineStr">
        <is>
          <t>3:42.0</t>
        </is>
      </c>
    </row>
    <row r="101">
      <c r="A101" s="17" t="n">
        <v>230.94</v>
      </c>
      <c r="B101" s="17" t="n">
        <v>236.08</v>
      </c>
      <c r="C101" s="18" t="inlineStr">
        <is>
          <t>b15_x5</t>
        </is>
      </c>
      <c r="D101" s="18" t="inlineStr">
        <is>
          <t>Footage</t>
        </is>
      </c>
      <c r="E101" s="18" t="inlineStr">
        <is>
          <t>Stock video clip</t>
        </is>
      </c>
      <c r="F101" s="18" t="inlineStr">
        <is>
          <t>019.mp4</t>
        </is>
      </c>
      <c r="G101" s="18" t="inlineStr">
        <is>
          <t>Full colour (video)</t>
        </is>
      </c>
      <c r="H101" s="18" t="inlineStr"/>
      <c r="I101" s="18" t="inlineStr">
        <is>
          <t>Pexels stock video</t>
        </is>
      </c>
      <c r="J101" s="18" t="inlineStr">
        <is>
          <t>Your plan (footage beat)</t>
        </is>
      </c>
      <c r="K101" s="5">
        <f>B101-A101</f>
        <v/>
      </c>
      <c r="L101" s="2" t="inlineStr">
        <is>
          <t>3:50.9</t>
        </is>
      </c>
    </row>
    <row r="102">
      <c r="A102" s="17" t="n">
        <v>236.04</v>
      </c>
      <c r="B102" s="17" t="n">
        <v>241.18</v>
      </c>
      <c r="C102" s="18" t="inlineStr">
        <is>
          <t>b16</t>
        </is>
      </c>
      <c r="D102" s="18" t="inlineStr">
        <is>
          <t>Footage</t>
        </is>
      </c>
      <c r="E102" s="18" t="inlineStr">
        <is>
          <t>Stock video clip</t>
        </is>
      </c>
      <c r="F102" s="18" t="inlineStr">
        <is>
          <t>020.mp4</t>
        </is>
      </c>
      <c r="G102" s="18" t="inlineStr">
        <is>
          <t>Full colour (video)</t>
        </is>
      </c>
      <c r="H102" s="18" t="inlineStr"/>
      <c r="I102" s="18" t="inlineStr">
        <is>
          <t>Pexels stock video</t>
        </is>
      </c>
      <c r="J102" s="18" t="inlineStr">
        <is>
          <t>Your plan (footage beat)</t>
        </is>
      </c>
      <c r="K102" s="5">
        <f>B102-A102</f>
        <v/>
      </c>
      <c r="L102" s="2" t="inlineStr">
        <is>
          <t>3:56.0</t>
        </is>
      </c>
    </row>
    <row r="103">
      <c r="A103" s="17" t="n">
        <v>241.14</v>
      </c>
      <c r="B103" s="17" t="n">
        <v>246.28</v>
      </c>
      <c r="C103" s="18" t="inlineStr">
        <is>
          <t>b16</t>
        </is>
      </c>
      <c r="D103" s="18" t="inlineStr">
        <is>
          <t>Footage</t>
        </is>
      </c>
      <c r="E103" s="18" t="inlineStr">
        <is>
          <t>Stock video clip</t>
        </is>
      </c>
      <c r="F103" s="18" t="inlineStr">
        <is>
          <t>021.mp4</t>
        </is>
      </c>
      <c r="G103" s="18" t="inlineStr">
        <is>
          <t>Full colour (video)</t>
        </is>
      </c>
      <c r="H103" s="18" t="inlineStr"/>
      <c r="I103" s="18" t="inlineStr">
        <is>
          <t>Pexels stock video</t>
        </is>
      </c>
      <c r="J103" s="18" t="inlineStr">
        <is>
          <t>Your plan (footage beat)</t>
        </is>
      </c>
      <c r="K103" s="5">
        <f>B103-A103</f>
        <v/>
      </c>
      <c r="L103" s="2" t="inlineStr">
        <is>
          <t>4:01.1</t>
        </is>
      </c>
    </row>
    <row r="104">
      <c r="A104" s="17" t="n">
        <v>250.74</v>
      </c>
      <c r="B104" s="17" t="n">
        <v>257.36</v>
      </c>
      <c r="C104" s="18" t="inlineStr">
        <is>
          <t>b17</t>
        </is>
      </c>
      <c r="D104" s="18" t="inlineStr">
        <is>
          <t>Footage</t>
        </is>
      </c>
      <c r="E104" s="18" t="inlineStr">
        <is>
          <t>Stock video clip</t>
        </is>
      </c>
      <c r="F104" s="18" t="inlineStr">
        <is>
          <t>022.mp4</t>
        </is>
      </c>
      <c r="G104" s="18" t="inlineStr">
        <is>
          <t>Full colour (video)</t>
        </is>
      </c>
      <c r="H104" s="18" t="inlineStr"/>
      <c r="I104" s="18" t="inlineStr">
        <is>
          <t>Pexels stock video</t>
        </is>
      </c>
      <c r="J104" s="18" t="inlineStr">
        <is>
          <t>Your plan / Teamplate cutaway</t>
        </is>
      </c>
      <c r="K104" s="5">
        <f>B104-A104</f>
        <v/>
      </c>
      <c r="L104" s="2" t="inlineStr">
        <is>
          <t>4:10.7</t>
        </is>
      </c>
    </row>
    <row r="105">
      <c r="A105" s="17" t="n">
        <v>259.84</v>
      </c>
      <c r="B105" s="17" t="n">
        <v>274.4</v>
      </c>
      <c r="C105" s="18" t="inlineStr">
        <is>
          <t>b18</t>
        </is>
      </c>
      <c r="D105" s="18" t="inlineStr">
        <is>
          <t>Legend / key</t>
        </is>
      </c>
      <c r="E105" s="18" t="inlineStr">
        <is>
          <t>Legend panel</t>
        </is>
      </c>
      <c r="F105" s="18" t="inlineStr">
        <is>
          <t>TORNADO WARNING</t>
        </is>
      </c>
      <c r="G105" s="18" t="inlineStr">
        <is>
          <t>Dark panel; swatches Red</t>
        </is>
      </c>
      <c r="H105" s="18" t="inlineStr"/>
      <c r="I105" s="18" t="inlineStr">
        <is>
          <t>—</t>
        </is>
      </c>
      <c r="J105" s="18" t="inlineStr">
        <is>
          <t>Engine (auto)</t>
        </is>
      </c>
      <c r="K105" s="5">
        <f>B105-A105</f>
        <v/>
      </c>
      <c r="L105" s="2" t="inlineStr">
        <is>
          <t>4:19.8</t>
        </is>
      </c>
    </row>
    <row r="106">
      <c r="A106" s="17" t="n">
        <v>259.84</v>
      </c>
      <c r="B106" s="17" t="n">
        <v>274.4</v>
      </c>
      <c r="C106" s="18" t="inlineStr">
        <is>
          <t>b18</t>
        </is>
      </c>
      <c r="D106" s="18" t="inlineStr">
        <is>
          <t>Legend / key</t>
        </is>
      </c>
      <c r="E106" s="18" t="inlineStr">
        <is>
          <t>Radar colour scale</t>
        </is>
      </c>
      <c r="F106" s="18" t="inlineStr">
        <is>
          <t>LIGHT – HEAVY – HAIL</t>
        </is>
      </c>
      <c r="G106" s="18" t="inlineStr">
        <is>
          <t>Multicolour scale</t>
        </is>
      </c>
      <c r="H106" s="18" t="inlineStr"/>
      <c r="I106" s="18" t="inlineStr">
        <is>
          <t>—</t>
        </is>
      </c>
      <c r="J106" s="18" t="inlineStr">
        <is>
          <t>Engine (auto)</t>
        </is>
      </c>
      <c r="K106" s="5">
        <f>B106-A106</f>
        <v/>
      </c>
      <c r="L106" s="2" t="inlineStr">
        <is>
          <t>4:19.8</t>
        </is>
      </c>
    </row>
    <row r="107">
      <c r="A107" s="17" t="n">
        <v>259.84</v>
      </c>
      <c r="B107" s="17" t="n">
        <v>274.4</v>
      </c>
      <c r="C107" s="18" t="inlineStr">
        <is>
          <t>b18</t>
        </is>
      </c>
      <c r="D107" s="18" t="inlineStr">
        <is>
          <t>Map loop</t>
        </is>
      </c>
      <c r="E107" s="18" t="inlineStr">
        <is>
          <t>Radar loop</t>
        </is>
      </c>
      <c r="F107" s="18" t="inlineStr">
        <is>
          <t>NEXRAD reflectivity, 7 scans, 5:55–6:25 AM EDT Oct 11</t>
        </is>
      </c>
      <c r="G107" s="18" t="inlineStr">
        <is>
          <t>Multicolour (dBZ scale: blue-green-yellow-red-purple)</t>
        </is>
      </c>
      <c r="H107" s="18" t="inlineStr"/>
      <c r="I107" s="18" t="inlineStr">
        <is>
          <t>NOAA/NWS NEXRAD via IEM</t>
        </is>
      </c>
      <c r="J107" s="18" t="inlineStr">
        <is>
          <t>Engine (auto)</t>
        </is>
      </c>
      <c r="K107" s="5">
        <f>B107-A107</f>
        <v/>
      </c>
      <c r="L107" s="2" t="inlineStr">
        <is>
          <t>4:19.8</t>
        </is>
      </c>
    </row>
    <row r="108">
      <c r="A108" s="17" t="n">
        <v>259.84</v>
      </c>
      <c r="B108" s="17" t="n">
        <v>274.4</v>
      </c>
      <c r="C108" s="18" t="inlineStr">
        <is>
          <t>b18</t>
        </is>
      </c>
      <c r="D108" s="18" t="inlineStr">
        <is>
          <t>Source line</t>
        </is>
      </c>
      <c r="E108" s="18" t="inlineStr">
        <is>
          <t>Source line (bottom text)</t>
        </is>
      </c>
      <c r="F108" s="18" t="inlineStr">
        <is>
          <t>Radar: NOAA/NWS NEXRAD via Iowa Environmental Mesonet, Oct 11, 5:55 AM–6:25 AM EDT · Warnings: National Weather Service via IEM, 5:55 AM–6:25 AM EDT</t>
        </is>
      </c>
      <c r="G108" s="18" t="inlineStr">
        <is>
          <t>White text</t>
        </is>
      </c>
      <c r="H108" s="26" t="inlineStr">
        <is>
          <t>#FFFFFF</t>
        </is>
      </c>
      <c r="I108" s="18" t="inlineStr">
        <is>
          <t>—</t>
        </is>
      </c>
      <c r="J108" s="18" t="inlineStr">
        <is>
          <t>Engine (auto)</t>
        </is>
      </c>
      <c r="K108" s="5">
        <f>B108-A108</f>
        <v/>
      </c>
      <c r="L108" s="2" t="inlineStr">
        <is>
          <t>4:19.8</t>
        </is>
      </c>
    </row>
    <row r="109">
      <c r="A109" s="17" t="n">
        <v>260.14</v>
      </c>
      <c r="B109" s="17" t="n">
        <v>262.54</v>
      </c>
      <c r="C109" s="18" t="inlineStr">
        <is>
          <t>b18</t>
        </is>
      </c>
      <c r="D109" s="18" t="inlineStr">
        <is>
          <t>Camera move</t>
        </is>
      </c>
      <c r="E109" s="18" t="inlineStr">
        <is>
          <t>Camera fly to place</t>
        </is>
      </c>
      <c r="F109" s="18" t="inlineStr">
        <is>
          <t>34.40,-81.42</t>
        </is>
      </c>
      <c r="G109" s="18" t="inlineStr">
        <is>
          <t>—</t>
        </is>
      </c>
      <c r="H109" s="18" t="inlineStr"/>
      <c r="I109" s="18" t="inlineStr">
        <is>
          <t>—</t>
        </is>
      </c>
      <c r="J109" s="18" t="inlineStr">
        <is>
          <t>Your plan</t>
        </is>
      </c>
      <c r="K109" s="5">
        <f>B109-A109</f>
        <v/>
      </c>
      <c r="L109" s="2" t="inlineStr">
        <is>
          <t>4:20.1</t>
        </is>
      </c>
    </row>
    <row r="110">
      <c r="A110" s="17" t="n">
        <v>260.18</v>
      </c>
      <c r="B110" s="17" t="n">
        <v>263.83</v>
      </c>
      <c r="C110" s="18" t="inlineStr">
        <is>
          <t>b18</t>
        </is>
      </c>
      <c r="D110" s="18" t="inlineStr">
        <is>
          <t>Transition / effect</t>
        </is>
      </c>
      <c r="E110" s="18" t="inlineStr">
        <is>
          <t>Dip to dark (transition)</t>
        </is>
      </c>
      <c r="F110" s="18" t="inlineStr">
        <is>
          <t>between map and title card</t>
        </is>
      </c>
      <c r="G110" s="18" t="inlineStr">
        <is>
          <t>Black</t>
        </is>
      </c>
      <c r="H110" s="21" t="inlineStr">
        <is>
          <t>#000000</t>
        </is>
      </c>
      <c r="I110" s="18" t="inlineStr">
        <is>
          <t>—</t>
        </is>
      </c>
      <c r="J110" s="18" t="inlineStr">
        <is>
          <t>Teamplate style</t>
        </is>
      </c>
      <c r="K110" s="5">
        <f>B110-A110</f>
        <v/>
      </c>
      <c r="L110" s="2" t="inlineStr">
        <is>
          <t>4:20.2</t>
        </is>
      </c>
    </row>
    <row r="111">
      <c r="A111" s="17" t="n">
        <v>260.28</v>
      </c>
      <c r="B111" s="17" t="n">
        <v>263.48</v>
      </c>
      <c r="C111" s="18" t="inlineStr">
        <is>
          <t>b18</t>
        </is>
      </c>
      <c r="D111" s="18" t="inlineStr">
        <is>
          <t>Text card</t>
        </is>
      </c>
      <c r="E111" s="18" t="inlineStr">
        <is>
          <t>Keyword title card</t>
        </is>
      </c>
      <c r="F111" s="18" t="inlineStr">
        <is>
          <t>WARNING TIMELINE</t>
        </is>
      </c>
      <c r="G111" s="18" t="inlineStr">
        <is>
          <t>White + red highlight</t>
        </is>
      </c>
      <c r="H111" s="20" t="inlineStr">
        <is>
          <t>#D3122B</t>
        </is>
      </c>
      <c r="I111" s="18" t="inlineStr">
        <is>
          <t>—</t>
        </is>
      </c>
      <c r="J111" s="18" t="inlineStr">
        <is>
          <t>Your plan (hud_title) in Teamplate style</t>
        </is>
      </c>
      <c r="K111" s="5">
        <f>B111-A111</f>
        <v/>
      </c>
      <c r="L111" s="2" t="inlineStr">
        <is>
          <t>4:20.3</t>
        </is>
      </c>
    </row>
    <row r="112">
      <c r="A112" s="17" t="n">
        <v>262.84</v>
      </c>
      <c r="B112" s="17" t="n">
        <v>272.84</v>
      </c>
      <c r="C112" s="18" t="inlineStr">
        <is>
          <t>b18</t>
        </is>
      </c>
      <c r="D112" s="18" t="inlineStr">
        <is>
          <t>Camera move</t>
        </is>
      </c>
      <c r="E112" s="18" t="inlineStr">
        <is>
          <t>Camera slow push in</t>
        </is>
      </c>
      <c r="F112" s="18" t="inlineStr">
        <is>
          <t>same place</t>
        </is>
      </c>
      <c r="G112" s="18" t="inlineStr">
        <is>
          <t>—</t>
        </is>
      </c>
      <c r="H112" s="18" t="inlineStr"/>
      <c r="I112" s="18" t="inlineStr">
        <is>
          <t>—</t>
        </is>
      </c>
      <c r="J112" s="18" t="inlineStr">
        <is>
          <t>Your plan</t>
        </is>
      </c>
      <c r="K112" s="5">
        <f>B112-A112</f>
        <v/>
      </c>
      <c r="L112" s="2" t="inlineStr">
        <is>
          <t>4:22.8</t>
        </is>
      </c>
    </row>
    <row r="113">
      <c r="A113" s="17" t="n">
        <v>263.58</v>
      </c>
      <c r="B113" s="17" t="n">
        <v>274.4</v>
      </c>
      <c r="C113" s="18" t="inlineStr">
        <is>
          <t>b18</t>
        </is>
      </c>
      <c r="D113" s="18" t="inlineStr">
        <is>
          <t>Text card</t>
        </is>
      </c>
      <c r="E113" s="18" t="inlineStr">
        <is>
          <t>Place tag (top)</t>
        </is>
      </c>
      <c r="F113" s="18" t="inlineStr">
        <is>
          <t>NEWBERRY COUNTY</t>
        </is>
      </c>
      <c r="G113" s="18" t="inlineStr">
        <is>
          <t>Black tag, white text</t>
        </is>
      </c>
      <c r="H113" s="22" t="inlineStr">
        <is>
          <t>#111111</t>
        </is>
      </c>
      <c r="I113" s="18" t="inlineStr">
        <is>
          <t>—</t>
        </is>
      </c>
      <c r="J113" s="18" t="inlineStr">
        <is>
          <t>Teamplate style</t>
        </is>
      </c>
      <c r="K113" s="5">
        <f>B113-A113</f>
        <v/>
      </c>
      <c r="L113" s="2" t="inlineStr">
        <is>
          <t>4:23.6</t>
        </is>
      </c>
    </row>
    <row r="114">
      <c r="A114" s="17" t="n">
        <v>263.96</v>
      </c>
      <c r="B114" s="17" t="n">
        <v>266.44</v>
      </c>
      <c r="C114" s="18" t="inlineStr">
        <is>
          <t>b18</t>
        </is>
      </c>
      <c r="D114" s="18" t="inlineStr">
        <is>
          <t>Map data graphic</t>
        </is>
      </c>
      <c r="E114" s="18" t="inlineStr">
        <is>
          <t>Warning polygon (fill)</t>
        </is>
      </c>
      <c r="F114" s="18" t="inlineStr">
        <is>
          <t>Tornado Warning CAE #16 area</t>
        </is>
      </c>
      <c r="G114" s="18" t="inlineStr">
        <is>
          <t>Red</t>
        </is>
      </c>
      <c r="H114" s="27" t="inlineStr">
        <is>
          <t>#FF0000</t>
        </is>
      </c>
      <c r="I114" s="18" t="inlineStr">
        <is>
          <t>NWS warning via IEM archive</t>
        </is>
      </c>
      <c r="J114" s="18" t="inlineStr">
        <is>
          <t>Engine (auto)</t>
        </is>
      </c>
      <c r="K114" s="5">
        <f>B114-A114</f>
        <v/>
      </c>
      <c r="L114" s="2" t="inlineStr">
        <is>
          <t>4:24.0</t>
        </is>
      </c>
    </row>
    <row r="115">
      <c r="A115" s="17" t="n">
        <v>263.96</v>
      </c>
      <c r="B115" s="17" t="n">
        <v>266.44</v>
      </c>
      <c r="C115" s="18" t="inlineStr">
        <is>
          <t>b18</t>
        </is>
      </c>
      <c r="D115" s="18" t="inlineStr">
        <is>
          <t>Map data graphic</t>
        </is>
      </c>
      <c r="E115" s="18" t="inlineStr">
        <is>
          <t>Warning polygon (outline)</t>
        </is>
      </c>
      <c r="F115" s="18" t="inlineStr">
        <is>
          <t>Tornado Warning CAE #16 outline</t>
        </is>
      </c>
      <c r="G115" s="18" t="inlineStr">
        <is>
          <t>Red</t>
        </is>
      </c>
      <c r="H115" s="27" t="inlineStr">
        <is>
          <t>#FF0000</t>
        </is>
      </c>
      <c r="I115" s="18" t="inlineStr">
        <is>
          <t>NWS warning via IEM archive</t>
        </is>
      </c>
      <c r="J115" s="18" t="inlineStr">
        <is>
          <t>Engine (auto)</t>
        </is>
      </c>
      <c r="K115" s="5">
        <f>B115-A115</f>
        <v/>
      </c>
      <c r="L115" s="2" t="inlineStr">
        <is>
          <t>4:24.0</t>
        </is>
      </c>
    </row>
    <row r="116">
      <c r="A116" s="17" t="n">
        <v>276.88</v>
      </c>
      <c r="B116" s="17" t="n">
        <v>280.92</v>
      </c>
      <c r="C116" s="18" t="inlineStr">
        <is>
          <t>b19</t>
        </is>
      </c>
      <c r="D116" s="18" t="inlineStr">
        <is>
          <t>Footage</t>
        </is>
      </c>
      <c r="E116" s="18" t="inlineStr">
        <is>
          <t>Stock video clip</t>
        </is>
      </c>
      <c r="F116" s="18" t="inlineStr">
        <is>
          <t>023.mp4</t>
        </is>
      </c>
      <c r="G116" s="18" t="inlineStr">
        <is>
          <t>Full colour (video)</t>
        </is>
      </c>
      <c r="H116" s="18" t="inlineStr"/>
      <c r="I116" s="18" t="inlineStr">
        <is>
          <t>Pexels stock video</t>
        </is>
      </c>
      <c r="J116" s="18" t="inlineStr">
        <is>
          <t>Your plan / Teamplate cutaway</t>
        </is>
      </c>
      <c r="K116" s="5">
        <f>B116-A116</f>
        <v/>
      </c>
      <c r="L116" s="2" t="inlineStr">
        <is>
          <t>4:36.9</t>
        </is>
      </c>
    </row>
    <row r="117">
      <c r="A117" s="17" t="n">
        <v>283.66</v>
      </c>
      <c r="B117" s="17" t="n">
        <v>289.44</v>
      </c>
      <c r="C117" s="18" t="inlineStr">
        <is>
          <t>b19_r7</t>
        </is>
      </c>
      <c r="D117" s="18" t="inlineStr">
        <is>
          <t>Footage</t>
        </is>
      </c>
      <c r="E117" s="18" t="inlineStr">
        <is>
          <t>Stock video clip</t>
        </is>
      </c>
      <c r="F117" s="18" t="inlineStr">
        <is>
          <t>024.mp4</t>
        </is>
      </c>
      <c r="G117" s="18" t="inlineStr">
        <is>
          <t>Full colour (video)</t>
        </is>
      </c>
      <c r="H117" s="18" t="inlineStr"/>
      <c r="I117" s="18" t="inlineStr">
        <is>
          <t>Pexels stock video</t>
        </is>
      </c>
      <c r="J117" s="18" t="inlineStr">
        <is>
          <t>Your plan / Teamplate cutaway</t>
        </is>
      </c>
      <c r="K117" s="5">
        <f>B117-A117</f>
        <v/>
      </c>
      <c r="L117" s="2" t="inlineStr">
        <is>
          <t>4:43.7</t>
        </is>
      </c>
    </row>
    <row r="118">
      <c r="A118" s="17" t="n">
        <v>289.4</v>
      </c>
      <c r="B118" s="17" t="n">
        <v>296.42</v>
      </c>
      <c r="C118" s="18" t="inlineStr">
        <is>
          <t>b19_x8</t>
        </is>
      </c>
      <c r="D118" s="18" t="inlineStr">
        <is>
          <t>Footage</t>
        </is>
      </c>
      <c r="E118" s="18" t="inlineStr">
        <is>
          <t>Stock video clip</t>
        </is>
      </c>
      <c r="F118" s="18" t="inlineStr">
        <is>
          <t>025.mp4</t>
        </is>
      </c>
      <c r="G118" s="18" t="inlineStr">
        <is>
          <t>Full colour (video)</t>
        </is>
      </c>
      <c r="H118" s="18" t="inlineStr"/>
      <c r="I118" s="18" t="inlineStr">
        <is>
          <t>Pexels stock video</t>
        </is>
      </c>
      <c r="J118" s="18" t="inlineStr">
        <is>
          <t>Your plan / Teamplate cutaway</t>
        </is>
      </c>
      <c r="K118" s="5">
        <f>B118-A118</f>
        <v/>
      </c>
      <c r="L118" s="2" t="inlineStr">
        <is>
          <t>4:49.4</t>
        </is>
      </c>
    </row>
    <row r="119">
      <c r="A119" s="17" t="n">
        <v>296.72</v>
      </c>
      <c r="B119" s="17" t="n">
        <v>303.74</v>
      </c>
      <c r="C119" s="18" t="inlineStr">
        <is>
          <t>b20_r9</t>
        </is>
      </c>
      <c r="D119" s="18" t="inlineStr">
        <is>
          <t>Camera move</t>
        </is>
      </c>
      <c r="E119" s="18" t="inlineStr">
        <is>
          <t>Camera ease back out</t>
        </is>
      </c>
      <c r="F119" s="18" t="inlineStr">
        <is>
          <t>same place</t>
        </is>
      </c>
      <c r="G119" s="18" t="inlineStr">
        <is>
          <t>—</t>
        </is>
      </c>
      <c r="H119" s="18" t="inlineStr"/>
      <c r="I119" s="18" t="inlineStr">
        <is>
          <t>—</t>
        </is>
      </c>
      <c r="J119" s="18" t="inlineStr">
        <is>
          <t>Your plan</t>
        </is>
      </c>
      <c r="K119" s="5">
        <f>B119-A119</f>
        <v/>
      </c>
      <c r="L119" s="2" t="inlineStr">
        <is>
          <t>4:56.7</t>
        </is>
      </c>
    </row>
    <row r="120">
      <c r="A120" s="17" t="n">
        <v>297</v>
      </c>
      <c r="B120" s="17" t="n">
        <v>304.04</v>
      </c>
      <c r="C120" s="18" t="inlineStr">
        <is>
          <t>b20_r9</t>
        </is>
      </c>
      <c r="D120" s="18" t="inlineStr">
        <is>
          <t>Legend / key</t>
        </is>
      </c>
      <c r="E120" s="18" t="inlineStr">
        <is>
          <t>Legend panel</t>
        </is>
      </c>
      <c r="F120" s="18" t="inlineStr">
        <is>
          <t>EF0 TORNADO TRACK, EF1 TORNADO TRACK, EF2 TORNADO TRACK, SURVEYED · PRELIMINARY</t>
        </is>
      </c>
      <c r="G120" s="18" t="inlineStr">
        <is>
          <t>Dark panel; swatches Orange, Red-orange, White, Yellow</t>
        </is>
      </c>
      <c r="H120" s="18" t="inlineStr"/>
      <c r="I120" s="18" t="inlineStr">
        <is>
          <t>—</t>
        </is>
      </c>
      <c r="J120" s="18" t="inlineStr">
        <is>
          <t>Engine (auto)</t>
        </is>
      </c>
      <c r="K120" s="5">
        <f>B120-A120</f>
        <v/>
      </c>
      <c r="L120" s="2" t="inlineStr">
        <is>
          <t>4:57.0</t>
        </is>
      </c>
    </row>
    <row r="121">
      <c r="A121" s="17" t="n">
        <v>297</v>
      </c>
      <c r="B121" s="17" t="n">
        <v>304.04</v>
      </c>
      <c r="C121" s="18" t="inlineStr">
        <is>
          <t>b20_r9</t>
        </is>
      </c>
      <c r="D121" s="18" t="inlineStr">
        <is>
          <t>Map data graphic</t>
        </is>
      </c>
      <c r="E121" s="18" t="inlineStr">
        <is>
          <t>Tornado track line</t>
        </is>
      </c>
      <c r="F121" s="18" t="inlineStr">
        <is>
          <t>Captolo Tornado — EF0, 80 mph, 1.45 mi, 25 yd (starts in GA; layer survey_2)</t>
        </is>
      </c>
      <c r="G121" s="18" t="inlineStr">
        <is>
          <t>Yellow</t>
        </is>
      </c>
      <c r="H121" s="23" t="inlineStr">
        <is>
          <t>#FFE066</t>
        </is>
      </c>
      <c r="I121" s="18" t="inlineStr">
        <is>
          <t>NWS Damage Assessment Toolkit (preliminary)</t>
        </is>
      </c>
      <c r="J121" s="18" t="inlineStr">
        <is>
          <t>Engine (auto)</t>
        </is>
      </c>
      <c r="K121" s="5">
        <f>B121-A121</f>
        <v/>
      </c>
      <c r="L121" s="2" t="inlineStr">
        <is>
          <t>4:57.0</t>
        </is>
      </c>
    </row>
    <row r="122">
      <c r="A122" s="17" t="n">
        <v>297</v>
      </c>
      <c r="B122" s="17" t="n">
        <v>304.04</v>
      </c>
      <c r="C122" s="18" t="inlineStr">
        <is>
          <t>b20_r9</t>
        </is>
      </c>
      <c r="D122" s="18" t="inlineStr">
        <is>
          <t>Map data graphic</t>
        </is>
      </c>
      <c r="E122" s="18" t="inlineStr">
        <is>
          <t>Tornado track line</t>
        </is>
      </c>
      <c r="F122" s="18" t="inlineStr">
        <is>
          <t>Eastern Screven County Tornado — EF1, 105 mph, 7.49 mi, 200 yd (starts in GA; layer survey_2)</t>
        </is>
      </c>
      <c r="G122" s="18" t="inlineStr">
        <is>
          <t>Orange</t>
        </is>
      </c>
      <c r="H122" s="24" t="inlineStr">
        <is>
          <t>#FFA94D</t>
        </is>
      </c>
      <c r="I122" s="18" t="inlineStr">
        <is>
          <t>NWS Damage Assessment Toolkit (preliminary)</t>
        </is>
      </c>
      <c r="J122" s="18" t="inlineStr">
        <is>
          <t>Engine (auto)</t>
        </is>
      </c>
      <c r="K122" s="5">
        <f>B122-A122</f>
        <v/>
      </c>
      <c r="L122" s="2" t="inlineStr">
        <is>
          <t>4:57.0</t>
        </is>
      </c>
    </row>
    <row r="123">
      <c r="A123" s="17" t="n">
        <v>297</v>
      </c>
      <c r="B123" s="17" t="n">
        <v>304.04</v>
      </c>
      <c r="C123" s="18" t="inlineStr">
        <is>
          <t>b20_r9</t>
        </is>
      </c>
      <c r="D123" s="18" t="inlineStr">
        <is>
          <t>Map data graphic</t>
        </is>
      </c>
      <c r="E123" s="18" t="inlineStr">
        <is>
          <t>Tornado track line</t>
        </is>
      </c>
      <c r="F123" s="18" t="inlineStr">
        <is>
          <t>Waynesboro Tornado — EF1, 110 mph, 2.70 mi, 350 yd (starts in GA; layer survey_2)</t>
        </is>
      </c>
      <c r="G123" s="18" t="inlineStr">
        <is>
          <t>Orange</t>
        </is>
      </c>
      <c r="H123" s="24" t="inlineStr">
        <is>
          <t>#FFA94D</t>
        </is>
      </c>
      <c r="I123" s="18" t="inlineStr">
        <is>
          <t>NWS Damage Assessment Toolkit (preliminary)</t>
        </is>
      </c>
      <c r="J123" s="18" t="inlineStr">
        <is>
          <t>Engine (auto)</t>
        </is>
      </c>
      <c r="K123" s="5">
        <f>B123-A123</f>
        <v/>
      </c>
      <c r="L123" s="2" t="inlineStr">
        <is>
          <t>4:57.0</t>
        </is>
      </c>
    </row>
    <row r="124">
      <c r="A124" s="17" t="n">
        <v>297</v>
      </c>
      <c r="B124" s="17" t="n">
        <v>304.04</v>
      </c>
      <c r="C124" s="18" t="inlineStr">
        <is>
          <t>b20_r9</t>
        </is>
      </c>
      <c r="D124" s="18" t="inlineStr">
        <is>
          <t>Map data graphic</t>
        </is>
      </c>
      <c r="E124" s="18" t="inlineStr">
        <is>
          <t>Tornado track line</t>
        </is>
      </c>
      <c r="F124" s="18" t="inlineStr">
        <is>
          <t>Western Allendale Co Tornado — EF1, 110 mph, 3.20 mi, 350 yd (starts in SC; layer survey_2)</t>
        </is>
      </c>
      <c r="G124" s="18" t="inlineStr">
        <is>
          <t>Orange</t>
        </is>
      </c>
      <c r="H124" s="24" t="inlineStr">
        <is>
          <t>#FFA94D</t>
        </is>
      </c>
      <c r="I124" s="18" t="inlineStr">
        <is>
          <t>NWS Damage Assessment Toolkit (preliminary)</t>
        </is>
      </c>
      <c r="J124" s="18" t="inlineStr">
        <is>
          <t>Engine (auto)</t>
        </is>
      </c>
      <c r="K124" s="5">
        <f>B124-A124</f>
        <v/>
      </c>
      <c r="L124" s="2" t="inlineStr">
        <is>
          <t>4:57.0</t>
        </is>
      </c>
    </row>
    <row r="125">
      <c r="A125" s="17" t="n">
        <v>297</v>
      </c>
      <c r="B125" s="17" t="n">
        <v>304.04</v>
      </c>
      <c r="C125" s="18" t="inlineStr">
        <is>
          <t>b20_r9</t>
        </is>
      </c>
      <c r="D125" s="18" t="inlineStr">
        <is>
          <t>Map data graphic</t>
        </is>
      </c>
      <c r="E125" s="18" t="inlineStr">
        <is>
          <t>Tornado track line</t>
        </is>
      </c>
      <c r="F125" s="18" t="inlineStr">
        <is>
          <t>Northern Allendale Tornado — EF1, 105 mph, 1.75 mi, 200 yd (starts in SC; layer survey_2)</t>
        </is>
      </c>
      <c r="G125" s="18" t="inlineStr">
        <is>
          <t>Orange</t>
        </is>
      </c>
      <c r="H125" s="24" t="inlineStr">
        <is>
          <t>#FFA94D</t>
        </is>
      </c>
      <c r="I125" s="18" t="inlineStr">
        <is>
          <t>NWS Damage Assessment Toolkit (preliminary)</t>
        </is>
      </c>
      <c r="J125" s="18" t="inlineStr">
        <is>
          <t>Engine (auto)</t>
        </is>
      </c>
      <c r="K125" s="5">
        <f>B125-A125</f>
        <v/>
      </c>
      <c r="L125" s="2" t="inlineStr">
        <is>
          <t>4:57.0</t>
        </is>
      </c>
    </row>
    <row r="126">
      <c r="A126" s="17" t="n">
        <v>297</v>
      </c>
      <c r="B126" s="17" t="n">
        <v>304.04</v>
      </c>
      <c r="C126" s="18" t="inlineStr">
        <is>
          <t>b20_r9</t>
        </is>
      </c>
      <c r="D126" s="18" t="inlineStr">
        <is>
          <t>Map data graphic</t>
        </is>
      </c>
      <c r="E126" s="18" t="inlineStr">
        <is>
          <t>Tornado track line</t>
        </is>
      </c>
      <c r="F126" s="18" t="inlineStr">
        <is>
          <t>Kline Tornado — EF1, 95 mph, 1.96 mi, 100 yd (starts in SC; layer survey_2)</t>
        </is>
      </c>
      <c r="G126" s="18" t="inlineStr">
        <is>
          <t>Orange</t>
        </is>
      </c>
      <c r="H126" s="24" t="inlineStr">
        <is>
          <t>#FFA94D</t>
        </is>
      </c>
      <c r="I126" s="18" t="inlineStr">
        <is>
          <t>NWS Damage Assessment Toolkit (preliminary)</t>
        </is>
      </c>
      <c r="J126" s="18" t="inlineStr">
        <is>
          <t>Engine (auto)</t>
        </is>
      </c>
      <c r="K126" s="5">
        <f>B126-A126</f>
        <v/>
      </c>
      <c r="L126" s="2" t="inlineStr">
        <is>
          <t>4:57.0</t>
        </is>
      </c>
    </row>
    <row r="127">
      <c r="A127" s="17" t="n">
        <v>297</v>
      </c>
      <c r="B127" s="17" t="n">
        <v>304.04</v>
      </c>
      <c r="C127" s="18" t="inlineStr">
        <is>
          <t>b20_r9</t>
        </is>
      </c>
      <c r="D127" s="18" t="inlineStr">
        <is>
          <t>Map data graphic</t>
        </is>
      </c>
      <c r="E127" s="18" t="inlineStr">
        <is>
          <t>Tornado track line</t>
        </is>
      </c>
      <c r="F127" s="18" t="inlineStr">
        <is>
          <t>Barnwell Tornado — EF2, 115 mph, 18.04 mi, 250 yd (starts in SC; layer survey_2)</t>
        </is>
      </c>
      <c r="G127" s="18" t="inlineStr">
        <is>
          <t>Red-orange</t>
        </is>
      </c>
      <c r="H127" s="25" t="inlineStr">
        <is>
          <t>#FF6B3D</t>
        </is>
      </c>
      <c r="I127" s="18" t="inlineStr">
        <is>
          <t>NWS Damage Assessment Toolkit (preliminary)</t>
        </is>
      </c>
      <c r="J127" s="18" t="inlineStr">
        <is>
          <t>Engine (auto)</t>
        </is>
      </c>
      <c r="K127" s="5">
        <f>B127-A127</f>
        <v/>
      </c>
      <c r="L127" s="2" t="inlineStr">
        <is>
          <t>4:57.0</t>
        </is>
      </c>
    </row>
    <row r="128">
      <c r="A128" s="17" t="n">
        <v>297</v>
      </c>
      <c r="B128" s="17" t="n">
        <v>304.04</v>
      </c>
      <c r="C128" s="18" t="inlineStr">
        <is>
          <t>b20_r9</t>
        </is>
      </c>
      <c r="D128" s="18" t="inlineStr">
        <is>
          <t>Map data graphic</t>
        </is>
      </c>
      <c r="E128" s="18" t="inlineStr">
        <is>
          <t>Tornado track line</t>
        </is>
      </c>
      <c r="F128" s="18" t="inlineStr">
        <is>
          <t>Wagener Tornado — EF1, 105 mph, 3.22 mi, 150 yd (starts in SC; layer survey_2)</t>
        </is>
      </c>
      <c r="G128" s="18" t="inlineStr">
        <is>
          <t>Orange</t>
        </is>
      </c>
      <c r="H128" s="24" t="inlineStr">
        <is>
          <t>#FFA94D</t>
        </is>
      </c>
      <c r="I128" s="18" t="inlineStr">
        <is>
          <t>NWS Damage Assessment Toolkit (preliminary)</t>
        </is>
      </c>
      <c r="J128" s="18" t="inlineStr">
        <is>
          <t>Engine (auto)</t>
        </is>
      </c>
      <c r="K128" s="5">
        <f>B128-A128</f>
        <v/>
      </c>
      <c r="L128" s="2" t="inlineStr">
        <is>
          <t>4:57.0</t>
        </is>
      </c>
    </row>
    <row r="129">
      <c r="A129" s="17" t="n">
        <v>297</v>
      </c>
      <c r="B129" s="17" t="n">
        <v>304.04</v>
      </c>
      <c r="C129" s="18" t="inlineStr">
        <is>
          <t>b20_r9</t>
        </is>
      </c>
      <c r="D129" s="18" t="inlineStr">
        <is>
          <t>Map data graphic</t>
        </is>
      </c>
      <c r="E129" s="18" t="inlineStr">
        <is>
          <t>Tornado track line</t>
        </is>
      </c>
      <c r="F129" s="18" t="inlineStr">
        <is>
          <t>Newberry tornado (unnamed in DAT) — EF2, 115 mph, 1.47 mi, 450 yd (starts in SC; layer survey_2)</t>
        </is>
      </c>
      <c r="G129" s="18" t="inlineStr">
        <is>
          <t>Red-orange</t>
        </is>
      </c>
      <c r="H129" s="25" t="inlineStr">
        <is>
          <t>#FF6B3D</t>
        </is>
      </c>
      <c r="I129" s="18" t="inlineStr">
        <is>
          <t>NWS Damage Assessment Toolkit (preliminary)</t>
        </is>
      </c>
      <c r="J129" s="18" t="inlineStr">
        <is>
          <t>Engine (auto)</t>
        </is>
      </c>
      <c r="K129" s="5">
        <f>B129-A129</f>
        <v/>
      </c>
      <c r="L129" s="2" t="inlineStr">
        <is>
          <t>4:57.0</t>
        </is>
      </c>
    </row>
    <row r="130">
      <c r="A130" s="17" t="n">
        <v>297</v>
      </c>
      <c r="B130" s="17" t="n">
        <v>304.04</v>
      </c>
      <c r="C130" s="18" t="inlineStr">
        <is>
          <t>b20_r9</t>
        </is>
      </c>
      <c r="D130" s="18" t="inlineStr">
        <is>
          <t>Map data graphic</t>
        </is>
      </c>
      <c r="E130" s="18" t="inlineStr">
        <is>
          <t>Tornado track line</t>
        </is>
      </c>
      <c r="F130" s="18" t="inlineStr">
        <is>
          <t>(unnamed in DAT) — EF2, 115 mph, 5.30 mi, 150 yd (starts in NC; layer survey_2)</t>
        </is>
      </c>
      <c r="G130" s="18" t="inlineStr">
        <is>
          <t>Red-orange</t>
        </is>
      </c>
      <c r="H130" s="25" t="inlineStr">
        <is>
          <t>#FF6B3D</t>
        </is>
      </c>
      <c r="I130" s="18" t="inlineStr">
        <is>
          <t>NWS Damage Assessment Toolkit (preliminary)</t>
        </is>
      </c>
      <c r="J130" s="18" t="inlineStr">
        <is>
          <t>Engine (auto)</t>
        </is>
      </c>
      <c r="K130" s="5">
        <f>B130-A130</f>
        <v/>
      </c>
      <c r="L130" s="2" t="inlineStr">
        <is>
          <t>4:57.0</t>
        </is>
      </c>
    </row>
    <row r="131">
      <c r="A131" s="17" t="n">
        <v>297</v>
      </c>
      <c r="B131" s="17" t="n">
        <v>304.04</v>
      </c>
      <c r="C131" s="18" t="inlineStr">
        <is>
          <t>b20_r9</t>
        </is>
      </c>
      <c r="D131" s="18" t="inlineStr">
        <is>
          <t>Map data graphic</t>
        </is>
      </c>
      <c r="E131" s="18" t="inlineStr">
        <is>
          <t>Tornado track line</t>
        </is>
      </c>
      <c r="F131" s="18" t="inlineStr">
        <is>
          <t>Clarendon Tornado — EF0, 80 mph, 0.13 mi, 20 yd (starts in NC; layer survey_2)</t>
        </is>
      </c>
      <c r="G131" s="18" t="inlineStr">
        <is>
          <t>Yellow</t>
        </is>
      </c>
      <c r="H131" s="23" t="inlineStr">
        <is>
          <t>#FFE066</t>
        </is>
      </c>
      <c r="I131" s="18" t="inlineStr">
        <is>
          <t>NWS Damage Assessment Toolkit (preliminary)</t>
        </is>
      </c>
      <c r="J131" s="18" t="inlineStr">
        <is>
          <t>Engine (auto)</t>
        </is>
      </c>
      <c r="K131" s="5">
        <f>B131-A131</f>
        <v/>
      </c>
      <c r="L131" s="2" t="inlineStr">
        <is>
          <t>4:57.0</t>
        </is>
      </c>
    </row>
    <row r="132">
      <c r="A132" s="17" t="n">
        <v>297</v>
      </c>
      <c r="B132" s="17" t="n">
        <v>304.04</v>
      </c>
      <c r="C132" s="18" t="inlineStr">
        <is>
          <t>b20_r9</t>
        </is>
      </c>
      <c r="D132" s="18" t="inlineStr">
        <is>
          <t>Map data graphic</t>
        </is>
      </c>
      <c r="E132" s="18" t="inlineStr">
        <is>
          <t>Track label chip</t>
        </is>
      </c>
      <c r="F132" s="18" t="inlineStr">
        <is>
          <t>EF2 · 115 MPH · 1.47 MI · 450 YD</t>
        </is>
      </c>
      <c r="G132" s="18" t="inlineStr">
        <is>
          <t>Red-orange</t>
        </is>
      </c>
      <c r="H132" s="25" t="inlineStr">
        <is>
          <t>#FF6B3D</t>
        </is>
      </c>
      <c r="I132" s="18" t="inlineStr">
        <is>
          <t>NWS Damage Assessment Toolkit (preliminary)</t>
        </is>
      </c>
      <c r="J132" s="18" t="inlineStr">
        <is>
          <t>Engine (auto)</t>
        </is>
      </c>
      <c r="K132" s="5">
        <f>B132-A132</f>
        <v/>
      </c>
      <c r="L132" s="2" t="inlineStr">
        <is>
          <t>4:57.0</t>
        </is>
      </c>
    </row>
    <row r="133">
      <c r="A133" s="17" t="n">
        <v>297</v>
      </c>
      <c r="B133" s="17" t="n">
        <v>304.04</v>
      </c>
      <c r="C133" s="18" t="inlineStr">
        <is>
          <t>b20_r9</t>
        </is>
      </c>
      <c r="D133" s="18" t="inlineStr">
        <is>
          <t>Source line</t>
        </is>
      </c>
      <c r="E133" s="18" t="inlineStr">
        <is>
          <t>Source line (bottom text)</t>
        </is>
      </c>
      <c r="F133" s="18" t="inlineStr">
        <is>
          <t>Tornado surveys: NWS Damage Assessment Toolkit, preliminary</t>
        </is>
      </c>
      <c r="G133" s="18" t="inlineStr">
        <is>
          <t>White text</t>
        </is>
      </c>
      <c r="H133" s="26" t="inlineStr">
        <is>
          <t>#FFFFFF</t>
        </is>
      </c>
      <c r="I133" s="18" t="inlineStr">
        <is>
          <t>—</t>
        </is>
      </c>
      <c r="J133" s="18" t="inlineStr">
        <is>
          <t>Engine (auto)</t>
        </is>
      </c>
      <c r="K133" s="5">
        <f>B133-A133</f>
        <v/>
      </c>
      <c r="L133" s="2" t="inlineStr">
        <is>
          <t>4:57.0</t>
        </is>
      </c>
    </row>
    <row r="134">
      <c r="A134" s="17" t="n">
        <v>304.34</v>
      </c>
      <c r="B134" s="17" t="n">
        <v>306.74</v>
      </c>
      <c r="C134" s="18" t="inlineStr">
        <is>
          <t>b21</t>
        </is>
      </c>
      <c r="D134" s="18" t="inlineStr">
        <is>
          <t>Camera move</t>
        </is>
      </c>
      <c r="E134" s="18" t="inlineStr">
        <is>
          <t>Camera fly to place</t>
        </is>
      </c>
      <c r="F134" s="18" t="inlineStr">
        <is>
          <t>South Carolina</t>
        </is>
      </c>
      <c r="G134" s="18" t="inlineStr">
        <is>
          <t>—</t>
        </is>
      </c>
      <c r="H134" s="18" t="inlineStr"/>
      <c r="I134" s="18" t="inlineStr">
        <is>
          <t>—</t>
        </is>
      </c>
      <c r="J134" s="18" t="inlineStr">
        <is>
          <t>Your plan</t>
        </is>
      </c>
      <c r="K134" s="5">
        <f>B134-A134</f>
        <v/>
      </c>
      <c r="L134" s="2" t="inlineStr">
        <is>
          <t>5:04.3</t>
        </is>
      </c>
    </row>
    <row r="135">
      <c r="A135" s="17" t="n">
        <v>304.38</v>
      </c>
      <c r="B135" s="17" t="n">
        <v>308.03</v>
      </c>
      <c r="C135" s="18" t="inlineStr">
        <is>
          <t>b21</t>
        </is>
      </c>
      <c r="D135" s="18" t="inlineStr">
        <is>
          <t>Transition / effect</t>
        </is>
      </c>
      <c r="E135" s="18" t="inlineStr">
        <is>
          <t>Dip to dark (transition)</t>
        </is>
      </c>
      <c r="F135" s="18" t="inlineStr">
        <is>
          <t>between map and title card</t>
        </is>
      </c>
      <c r="G135" s="18" t="inlineStr">
        <is>
          <t>Black</t>
        </is>
      </c>
      <c r="H135" s="21" t="inlineStr">
        <is>
          <t>#000000</t>
        </is>
      </c>
      <c r="I135" s="18" t="inlineStr">
        <is>
          <t>—</t>
        </is>
      </c>
      <c r="J135" s="18" t="inlineStr">
        <is>
          <t>Teamplate style</t>
        </is>
      </c>
      <c r="K135" s="5">
        <f>B135-A135</f>
        <v/>
      </c>
      <c r="L135" s="2" t="inlineStr">
        <is>
          <t>5:04.4</t>
        </is>
      </c>
    </row>
    <row r="136">
      <c r="A136" s="17" t="n">
        <v>304.48</v>
      </c>
      <c r="B136" s="17" t="n">
        <v>307.68</v>
      </c>
      <c r="C136" s="18" t="inlineStr">
        <is>
          <t>b21</t>
        </is>
      </c>
      <c r="D136" s="18" t="inlineStr">
        <is>
          <t>Text card</t>
        </is>
      </c>
      <c r="E136" s="18" t="inlineStr">
        <is>
          <t>Keyword title card</t>
        </is>
      </c>
      <c r="F136" s="18" t="inlineStr">
        <is>
          <t>WEEKEND TORNADOES</t>
        </is>
      </c>
      <c r="G136" s="18" t="inlineStr">
        <is>
          <t>White + red highlight</t>
        </is>
      </c>
      <c r="H136" s="20" t="inlineStr">
        <is>
          <t>#D3122B</t>
        </is>
      </c>
      <c r="I136" s="18" t="inlineStr">
        <is>
          <t>—</t>
        </is>
      </c>
      <c r="J136" s="18" t="inlineStr">
        <is>
          <t>Your plan (hud_title) in Teamplate style</t>
        </is>
      </c>
      <c r="K136" s="5">
        <f>B136-A136</f>
        <v/>
      </c>
      <c r="L136" s="2" t="inlineStr">
        <is>
          <t>5:04.5</t>
        </is>
      </c>
    </row>
    <row r="137">
      <c r="A137" s="17" t="n">
        <v>307.04</v>
      </c>
      <c r="B137" s="17" t="n">
        <v>314.24</v>
      </c>
      <c r="C137" s="18" t="inlineStr">
        <is>
          <t>b21</t>
        </is>
      </c>
      <c r="D137" s="18" t="inlineStr">
        <is>
          <t>Camera move</t>
        </is>
      </c>
      <c r="E137" s="18" t="inlineStr">
        <is>
          <t>Camera slow push in</t>
        </is>
      </c>
      <c r="F137" s="18" t="inlineStr">
        <is>
          <t>same place</t>
        </is>
      </c>
      <c r="G137" s="18" t="inlineStr">
        <is>
          <t>—</t>
        </is>
      </c>
      <c r="H137" s="18" t="inlineStr"/>
      <c r="I137" s="18" t="inlineStr">
        <is>
          <t>—</t>
        </is>
      </c>
      <c r="J137" s="18" t="inlineStr">
        <is>
          <t>Your plan</t>
        </is>
      </c>
      <c r="K137" s="5">
        <f>B137-A137</f>
        <v/>
      </c>
      <c r="L137" s="2" t="inlineStr">
        <is>
          <t>5:07.0</t>
        </is>
      </c>
    </row>
    <row r="138">
      <c r="A138" s="17" t="n">
        <v>307.78</v>
      </c>
      <c r="B138" s="17" t="n">
        <v>314.54</v>
      </c>
      <c r="C138" s="18" t="inlineStr">
        <is>
          <t>b21</t>
        </is>
      </c>
      <c r="D138" s="18" t="inlineStr">
        <is>
          <t>Text card</t>
        </is>
      </c>
      <c r="E138" s="18" t="inlineStr">
        <is>
          <t>Place tag (top)</t>
        </is>
      </c>
      <c r="F138" s="18" t="inlineStr">
        <is>
          <t>SOUTH CAROLINA</t>
        </is>
      </c>
      <c r="G138" s="18" t="inlineStr">
        <is>
          <t>Black tag, white text</t>
        </is>
      </c>
      <c r="H138" s="22" t="inlineStr">
        <is>
          <t>#111111</t>
        </is>
      </c>
      <c r="I138" s="18" t="inlineStr">
        <is>
          <t>—</t>
        </is>
      </c>
      <c r="J138" s="18" t="inlineStr">
        <is>
          <t>Teamplate style</t>
        </is>
      </c>
      <c r="K138" s="5">
        <f>B138-A138</f>
        <v/>
      </c>
      <c r="L138" s="2" t="inlineStr">
        <is>
          <t>5:07.8</t>
        </is>
      </c>
    </row>
    <row r="139">
      <c r="A139" s="17" t="n">
        <v>309.66</v>
      </c>
      <c r="B139" s="17" t="n">
        <v>314.54</v>
      </c>
      <c r="C139" s="18" t="inlineStr">
        <is>
          <t>b21</t>
        </is>
      </c>
      <c r="D139" s="18" t="inlineStr">
        <is>
          <t>Map label</t>
        </is>
      </c>
      <c r="E139" s="18" t="inlineStr">
        <is>
          <t>Place label (dot + name)</t>
        </is>
      </c>
      <c r="F139" s="18" t="inlineStr">
        <is>
          <t>ALLENDALE COUNTY</t>
        </is>
      </c>
      <c r="G139" s="18" t="inlineStr">
        <is>
          <t>Orange tag</t>
        </is>
      </c>
      <c r="H139" s="19" t="inlineStr">
        <is>
          <t>#E8552B</t>
        </is>
      </c>
      <c r="I139" s="18" t="inlineStr">
        <is>
          <t>US county outlines (bundled)</t>
        </is>
      </c>
      <c r="J139" s="18" t="inlineStr">
        <is>
          <t>Engine (auto)</t>
        </is>
      </c>
      <c r="K139" s="5">
        <f>B139-A139</f>
        <v/>
      </c>
      <c r="L139" s="2" t="inlineStr">
        <is>
          <t>5:09.7</t>
        </is>
      </c>
    </row>
    <row r="140">
      <c r="A140" s="17" t="n">
        <v>314.54</v>
      </c>
      <c r="B140" s="17" t="n">
        <v>332.5</v>
      </c>
      <c r="C140" s="18" t="inlineStr">
        <is>
          <t>b22</t>
        </is>
      </c>
      <c r="D140" s="18" t="inlineStr">
        <is>
          <t>Legend / key</t>
        </is>
      </c>
      <c r="E140" s="18" t="inlineStr">
        <is>
          <t>Legend panel</t>
        </is>
      </c>
      <c r="F140" s="18" t="inlineStr">
        <is>
          <t>EF0 TORNADO TRACK, EF1 TORNADO TRACK, EF2 TORNADO TRACK, SURVEYED · PRELIMINARY</t>
        </is>
      </c>
      <c r="G140" s="18" t="inlineStr">
        <is>
          <t>Dark panel; swatches Orange, Red-orange, White, Yellow</t>
        </is>
      </c>
      <c r="H140" s="18" t="inlineStr"/>
      <c r="I140" s="18" t="inlineStr">
        <is>
          <t>—</t>
        </is>
      </c>
      <c r="J140" s="18" t="inlineStr">
        <is>
          <t>Engine (auto)</t>
        </is>
      </c>
      <c r="K140" s="5">
        <f>B140-A140</f>
        <v/>
      </c>
      <c r="L140" s="2" t="inlineStr">
        <is>
          <t>5:14.5</t>
        </is>
      </c>
    </row>
    <row r="141">
      <c r="A141" s="17" t="n">
        <v>314.54</v>
      </c>
      <c r="B141" s="17" t="n">
        <v>332.5</v>
      </c>
      <c r="C141" s="18" t="inlineStr">
        <is>
          <t>b22</t>
        </is>
      </c>
      <c r="D141" s="18" t="inlineStr">
        <is>
          <t>Map data graphic</t>
        </is>
      </c>
      <c r="E141" s="18" t="inlineStr">
        <is>
          <t>Tornado track line</t>
        </is>
      </c>
      <c r="F141" s="18" t="inlineStr">
        <is>
          <t>Captolo Tornado — EF0, 80 mph, 1.45 mi, 25 yd (starts in GA; layer survey_wide)</t>
        </is>
      </c>
      <c r="G141" s="18" t="inlineStr">
        <is>
          <t>Yellow</t>
        </is>
      </c>
      <c r="H141" s="23" t="inlineStr">
        <is>
          <t>#FFE066</t>
        </is>
      </c>
      <c r="I141" s="18" t="inlineStr">
        <is>
          <t>NWS Damage Assessment Toolkit (preliminary)</t>
        </is>
      </c>
      <c r="J141" s="18" t="inlineStr">
        <is>
          <t>Engine (auto)</t>
        </is>
      </c>
      <c r="K141" s="5">
        <f>B141-A141</f>
        <v/>
      </c>
      <c r="L141" s="2" t="inlineStr">
        <is>
          <t>5:14.5</t>
        </is>
      </c>
    </row>
    <row r="142">
      <c r="A142" s="17" t="n">
        <v>314.54</v>
      </c>
      <c r="B142" s="17" t="n">
        <v>332.5</v>
      </c>
      <c r="C142" s="18" t="inlineStr">
        <is>
          <t>b22</t>
        </is>
      </c>
      <c r="D142" s="18" t="inlineStr">
        <is>
          <t>Map data graphic</t>
        </is>
      </c>
      <c r="E142" s="18" t="inlineStr">
        <is>
          <t>Tornado track line</t>
        </is>
      </c>
      <c r="F142" s="18" t="inlineStr">
        <is>
          <t>Eastern Screven County Tornado — EF1, 105 mph, 7.49 mi, 200 yd (starts in GA; layer survey_wide)</t>
        </is>
      </c>
      <c r="G142" s="18" t="inlineStr">
        <is>
          <t>Orange</t>
        </is>
      </c>
      <c r="H142" s="24" t="inlineStr">
        <is>
          <t>#FFA94D</t>
        </is>
      </c>
      <c r="I142" s="18" t="inlineStr">
        <is>
          <t>NWS Damage Assessment Toolkit (preliminary)</t>
        </is>
      </c>
      <c r="J142" s="18" t="inlineStr">
        <is>
          <t>Engine (auto)</t>
        </is>
      </c>
      <c r="K142" s="5">
        <f>B142-A142</f>
        <v/>
      </c>
      <c r="L142" s="2" t="inlineStr">
        <is>
          <t>5:14.5</t>
        </is>
      </c>
    </row>
    <row r="143">
      <c r="A143" s="17" t="n">
        <v>314.54</v>
      </c>
      <c r="B143" s="17" t="n">
        <v>332.5</v>
      </c>
      <c r="C143" s="18" t="inlineStr">
        <is>
          <t>b22</t>
        </is>
      </c>
      <c r="D143" s="18" t="inlineStr">
        <is>
          <t>Map data graphic</t>
        </is>
      </c>
      <c r="E143" s="18" t="inlineStr">
        <is>
          <t>Tornado track line</t>
        </is>
      </c>
      <c r="F143" s="18" t="inlineStr">
        <is>
          <t>Waynesboro Tornado — EF1, 110 mph, 2.70 mi, 350 yd (starts in GA; layer survey_wide)</t>
        </is>
      </c>
      <c r="G143" s="18" t="inlineStr">
        <is>
          <t>Orange</t>
        </is>
      </c>
      <c r="H143" s="24" t="inlineStr">
        <is>
          <t>#FFA94D</t>
        </is>
      </c>
      <c r="I143" s="18" t="inlineStr">
        <is>
          <t>NWS Damage Assessment Toolkit (preliminary)</t>
        </is>
      </c>
      <c r="J143" s="18" t="inlineStr">
        <is>
          <t>Engine (auto)</t>
        </is>
      </c>
      <c r="K143" s="5">
        <f>B143-A143</f>
        <v/>
      </c>
      <c r="L143" s="2" t="inlineStr">
        <is>
          <t>5:14.5</t>
        </is>
      </c>
    </row>
    <row r="144">
      <c r="A144" s="17" t="n">
        <v>314.54</v>
      </c>
      <c r="B144" s="17" t="n">
        <v>332.5</v>
      </c>
      <c r="C144" s="18" t="inlineStr">
        <is>
          <t>b22</t>
        </is>
      </c>
      <c r="D144" s="18" t="inlineStr">
        <is>
          <t>Map data graphic</t>
        </is>
      </c>
      <c r="E144" s="18" t="inlineStr">
        <is>
          <t>Tornado track line</t>
        </is>
      </c>
      <c r="F144" s="18" t="inlineStr">
        <is>
          <t>Western Allendale Co Tornado — EF1, 110 mph, 3.20 mi, 350 yd (starts in SC; layer survey_wide)</t>
        </is>
      </c>
      <c r="G144" s="18" t="inlineStr">
        <is>
          <t>Orange</t>
        </is>
      </c>
      <c r="H144" s="24" t="inlineStr">
        <is>
          <t>#FFA94D</t>
        </is>
      </c>
      <c r="I144" s="18" t="inlineStr">
        <is>
          <t>NWS Damage Assessment Toolkit (preliminary)</t>
        </is>
      </c>
      <c r="J144" s="18" t="inlineStr">
        <is>
          <t>Engine (auto)</t>
        </is>
      </c>
      <c r="K144" s="5">
        <f>B144-A144</f>
        <v/>
      </c>
      <c r="L144" s="2" t="inlineStr">
        <is>
          <t>5:14.5</t>
        </is>
      </c>
    </row>
    <row r="145">
      <c r="A145" s="17" t="n">
        <v>314.54</v>
      </c>
      <c r="B145" s="17" t="n">
        <v>332.5</v>
      </c>
      <c r="C145" s="18" t="inlineStr">
        <is>
          <t>b22</t>
        </is>
      </c>
      <c r="D145" s="18" t="inlineStr">
        <is>
          <t>Map data graphic</t>
        </is>
      </c>
      <c r="E145" s="18" t="inlineStr">
        <is>
          <t>Tornado track line</t>
        </is>
      </c>
      <c r="F145" s="18" t="inlineStr">
        <is>
          <t>Northern Allendale Tornado — EF1, 105 mph, 1.75 mi, 200 yd (starts in SC; layer survey_wide)</t>
        </is>
      </c>
      <c r="G145" s="18" t="inlineStr">
        <is>
          <t>Orange</t>
        </is>
      </c>
      <c r="H145" s="24" t="inlineStr">
        <is>
          <t>#FFA94D</t>
        </is>
      </c>
      <c r="I145" s="18" t="inlineStr">
        <is>
          <t>NWS Damage Assessment Toolkit (preliminary)</t>
        </is>
      </c>
      <c r="J145" s="18" t="inlineStr">
        <is>
          <t>Engine (auto)</t>
        </is>
      </c>
      <c r="K145" s="5">
        <f>B145-A145</f>
        <v/>
      </c>
      <c r="L145" s="2" t="inlineStr">
        <is>
          <t>5:14.5</t>
        </is>
      </c>
    </row>
    <row r="146">
      <c r="A146" s="17" t="n">
        <v>314.54</v>
      </c>
      <c r="B146" s="17" t="n">
        <v>332.5</v>
      </c>
      <c r="C146" s="18" t="inlineStr">
        <is>
          <t>b22</t>
        </is>
      </c>
      <c r="D146" s="18" t="inlineStr">
        <is>
          <t>Map data graphic</t>
        </is>
      </c>
      <c r="E146" s="18" t="inlineStr">
        <is>
          <t>Tornado track line</t>
        </is>
      </c>
      <c r="F146" s="18" t="inlineStr">
        <is>
          <t>Kline Tornado — EF1, 95 mph, 1.96 mi, 100 yd (starts in SC; layer survey_wide)</t>
        </is>
      </c>
      <c r="G146" s="18" t="inlineStr">
        <is>
          <t>Orange</t>
        </is>
      </c>
      <c r="H146" s="24" t="inlineStr">
        <is>
          <t>#FFA94D</t>
        </is>
      </c>
      <c r="I146" s="18" t="inlineStr">
        <is>
          <t>NWS Damage Assessment Toolkit (preliminary)</t>
        </is>
      </c>
      <c r="J146" s="18" t="inlineStr">
        <is>
          <t>Engine (auto)</t>
        </is>
      </c>
      <c r="K146" s="5">
        <f>B146-A146</f>
        <v/>
      </c>
      <c r="L146" s="2" t="inlineStr">
        <is>
          <t>5:14.5</t>
        </is>
      </c>
    </row>
    <row r="147">
      <c r="A147" s="17" t="n">
        <v>314.54</v>
      </c>
      <c r="B147" s="17" t="n">
        <v>332.5</v>
      </c>
      <c r="C147" s="18" t="inlineStr">
        <is>
          <t>b22</t>
        </is>
      </c>
      <c r="D147" s="18" t="inlineStr">
        <is>
          <t>Map data graphic</t>
        </is>
      </c>
      <c r="E147" s="18" t="inlineStr">
        <is>
          <t>Tornado track line</t>
        </is>
      </c>
      <c r="F147" s="18" t="inlineStr">
        <is>
          <t>Barnwell Tornado — EF2, 115 mph, 18.04 mi, 250 yd (starts in SC; layer survey_wide)</t>
        </is>
      </c>
      <c r="G147" s="18" t="inlineStr">
        <is>
          <t>Red-orange</t>
        </is>
      </c>
      <c r="H147" s="25" t="inlineStr">
        <is>
          <t>#FF6B3D</t>
        </is>
      </c>
      <c r="I147" s="18" t="inlineStr">
        <is>
          <t>NWS Damage Assessment Toolkit (preliminary)</t>
        </is>
      </c>
      <c r="J147" s="18" t="inlineStr">
        <is>
          <t>Engine (auto)</t>
        </is>
      </c>
      <c r="K147" s="5">
        <f>B147-A147</f>
        <v/>
      </c>
      <c r="L147" s="2" t="inlineStr">
        <is>
          <t>5:14.5</t>
        </is>
      </c>
    </row>
    <row r="148">
      <c r="A148" s="17" t="n">
        <v>314.54</v>
      </c>
      <c r="B148" s="17" t="n">
        <v>332.5</v>
      </c>
      <c r="C148" s="18" t="inlineStr">
        <is>
          <t>b22</t>
        </is>
      </c>
      <c r="D148" s="18" t="inlineStr">
        <is>
          <t>Map data graphic</t>
        </is>
      </c>
      <c r="E148" s="18" t="inlineStr">
        <is>
          <t>Tornado track line</t>
        </is>
      </c>
      <c r="F148" s="18" t="inlineStr">
        <is>
          <t>Wagener Tornado — EF1, 105 mph, 3.22 mi, 150 yd (starts in SC; layer survey_wide)</t>
        </is>
      </c>
      <c r="G148" s="18" t="inlineStr">
        <is>
          <t>Orange</t>
        </is>
      </c>
      <c r="H148" s="24" t="inlineStr">
        <is>
          <t>#FFA94D</t>
        </is>
      </c>
      <c r="I148" s="18" t="inlineStr">
        <is>
          <t>NWS Damage Assessment Toolkit (preliminary)</t>
        </is>
      </c>
      <c r="J148" s="18" t="inlineStr">
        <is>
          <t>Engine (auto)</t>
        </is>
      </c>
      <c r="K148" s="5">
        <f>B148-A148</f>
        <v/>
      </c>
      <c r="L148" s="2" t="inlineStr">
        <is>
          <t>5:14.5</t>
        </is>
      </c>
    </row>
    <row r="149">
      <c r="A149" s="17" t="n">
        <v>314.54</v>
      </c>
      <c r="B149" s="17" t="n">
        <v>332.5</v>
      </c>
      <c r="C149" s="18" t="inlineStr">
        <is>
          <t>b22</t>
        </is>
      </c>
      <c r="D149" s="18" t="inlineStr">
        <is>
          <t>Map data graphic</t>
        </is>
      </c>
      <c r="E149" s="18" t="inlineStr">
        <is>
          <t>Tornado track line</t>
        </is>
      </c>
      <c r="F149" s="18" t="inlineStr">
        <is>
          <t>Newberry tornado (unnamed in DAT) — EF2, 115 mph, 1.47 mi, 450 yd (starts in SC; layer survey_wide)</t>
        </is>
      </c>
      <c r="G149" s="18" t="inlineStr">
        <is>
          <t>Red-orange</t>
        </is>
      </c>
      <c r="H149" s="25" t="inlineStr">
        <is>
          <t>#FF6B3D</t>
        </is>
      </c>
      <c r="I149" s="18" t="inlineStr">
        <is>
          <t>NWS Damage Assessment Toolkit (preliminary)</t>
        </is>
      </c>
      <c r="J149" s="18" t="inlineStr">
        <is>
          <t>Engine (auto)</t>
        </is>
      </c>
      <c r="K149" s="5">
        <f>B149-A149</f>
        <v/>
      </c>
      <c r="L149" s="2" t="inlineStr">
        <is>
          <t>5:14.5</t>
        </is>
      </c>
    </row>
    <row r="150">
      <c r="A150" s="17" t="n">
        <v>314.54</v>
      </c>
      <c r="B150" s="17" t="n">
        <v>332.5</v>
      </c>
      <c r="C150" s="18" t="inlineStr">
        <is>
          <t>b22</t>
        </is>
      </c>
      <c r="D150" s="18" t="inlineStr">
        <is>
          <t>Map data graphic</t>
        </is>
      </c>
      <c r="E150" s="18" t="inlineStr">
        <is>
          <t>Tornado track line</t>
        </is>
      </c>
      <c r="F150" s="18" t="inlineStr">
        <is>
          <t>(unnamed in DAT) — EF2, 115 mph, 5.30 mi, 150 yd (starts in NC; layer survey_wide)</t>
        </is>
      </c>
      <c r="G150" s="18" t="inlineStr">
        <is>
          <t>Red-orange</t>
        </is>
      </c>
      <c r="H150" s="25" t="inlineStr">
        <is>
          <t>#FF6B3D</t>
        </is>
      </c>
      <c r="I150" s="18" t="inlineStr">
        <is>
          <t>NWS Damage Assessment Toolkit (preliminary)</t>
        </is>
      </c>
      <c r="J150" s="18" t="inlineStr">
        <is>
          <t>Engine (auto)</t>
        </is>
      </c>
      <c r="K150" s="5">
        <f>B150-A150</f>
        <v/>
      </c>
      <c r="L150" s="2" t="inlineStr">
        <is>
          <t>5:14.5</t>
        </is>
      </c>
    </row>
    <row r="151">
      <c r="A151" s="17" t="n">
        <v>314.54</v>
      </c>
      <c r="B151" s="17" t="n">
        <v>332.5</v>
      </c>
      <c r="C151" s="18" t="inlineStr">
        <is>
          <t>b22</t>
        </is>
      </c>
      <c r="D151" s="18" t="inlineStr">
        <is>
          <t>Map data graphic</t>
        </is>
      </c>
      <c r="E151" s="18" t="inlineStr">
        <is>
          <t>Tornado track line</t>
        </is>
      </c>
      <c r="F151" s="18" t="inlineStr">
        <is>
          <t>Clarendon Tornado — EF0, 80 mph, 0.13 mi, 20 yd (starts in NC; layer survey_wide)</t>
        </is>
      </c>
      <c r="G151" s="18" t="inlineStr">
        <is>
          <t>Yellow</t>
        </is>
      </c>
      <c r="H151" s="23" t="inlineStr">
        <is>
          <t>#FFE066</t>
        </is>
      </c>
      <c r="I151" s="18" t="inlineStr">
        <is>
          <t>NWS Damage Assessment Toolkit (preliminary)</t>
        </is>
      </c>
      <c r="J151" s="18" t="inlineStr">
        <is>
          <t>Engine (auto)</t>
        </is>
      </c>
      <c r="K151" s="5">
        <f>B151-A151</f>
        <v/>
      </c>
      <c r="L151" s="2" t="inlineStr">
        <is>
          <t>5:14.5</t>
        </is>
      </c>
    </row>
    <row r="152">
      <c r="A152" s="17" t="n">
        <v>314.54</v>
      </c>
      <c r="B152" s="17" t="n">
        <v>332.5</v>
      </c>
      <c r="C152" s="18" t="inlineStr">
        <is>
          <t>b22</t>
        </is>
      </c>
      <c r="D152" s="18" t="inlineStr">
        <is>
          <t>Map data graphic</t>
        </is>
      </c>
      <c r="E152" s="18" t="inlineStr">
        <is>
          <t>Track label chip</t>
        </is>
      </c>
      <c r="F152" s="18" t="inlineStr">
        <is>
          <t>EF1 · 110 MPH · 3.20 MI · 350 YD</t>
        </is>
      </c>
      <c r="G152" s="18" t="inlineStr">
        <is>
          <t>Orange</t>
        </is>
      </c>
      <c r="H152" s="24" t="inlineStr">
        <is>
          <t>#FFA94D</t>
        </is>
      </c>
      <c r="I152" s="18" t="inlineStr">
        <is>
          <t>NWS Damage Assessment Toolkit (preliminary)</t>
        </is>
      </c>
      <c r="J152" s="18" t="inlineStr">
        <is>
          <t>Engine (auto)</t>
        </is>
      </c>
      <c r="K152" s="5">
        <f>B152-A152</f>
        <v/>
      </c>
      <c r="L152" s="2" t="inlineStr">
        <is>
          <t>5:14.5</t>
        </is>
      </c>
    </row>
    <row r="153">
      <c r="A153" s="17" t="n">
        <v>314.54</v>
      </c>
      <c r="B153" s="17" t="n">
        <v>332.5</v>
      </c>
      <c r="C153" s="18" t="inlineStr">
        <is>
          <t>b22</t>
        </is>
      </c>
      <c r="D153" s="18" t="inlineStr">
        <is>
          <t>Map data graphic</t>
        </is>
      </c>
      <c r="E153" s="18" t="inlineStr">
        <is>
          <t>Track label chip</t>
        </is>
      </c>
      <c r="F153" s="18" t="inlineStr">
        <is>
          <t>EF1 · 105 MPH · 1.75 MI · 200 YD</t>
        </is>
      </c>
      <c r="G153" s="18" t="inlineStr">
        <is>
          <t>Orange</t>
        </is>
      </c>
      <c r="H153" s="24" t="inlineStr">
        <is>
          <t>#FFA94D</t>
        </is>
      </c>
      <c r="I153" s="18" t="inlineStr">
        <is>
          <t>NWS Damage Assessment Toolkit (preliminary)</t>
        </is>
      </c>
      <c r="J153" s="18" t="inlineStr">
        <is>
          <t>Engine (auto)</t>
        </is>
      </c>
      <c r="K153" s="5">
        <f>B153-A153</f>
        <v/>
      </c>
      <c r="L153" s="2" t="inlineStr">
        <is>
          <t>5:14.5</t>
        </is>
      </c>
    </row>
    <row r="154">
      <c r="A154" s="17" t="n">
        <v>314.54</v>
      </c>
      <c r="B154" s="17" t="n">
        <v>332.5</v>
      </c>
      <c r="C154" s="18" t="inlineStr">
        <is>
          <t>b22</t>
        </is>
      </c>
      <c r="D154" s="18" t="inlineStr">
        <is>
          <t>Source line</t>
        </is>
      </c>
      <c r="E154" s="18" t="inlineStr">
        <is>
          <t>Source line (bottom text)</t>
        </is>
      </c>
      <c r="F154" s="18" t="inlineStr">
        <is>
          <t>Tornado surveys: NWS Damage Assessment Toolkit, preliminary</t>
        </is>
      </c>
      <c r="G154" s="18" t="inlineStr">
        <is>
          <t>White text</t>
        </is>
      </c>
      <c r="H154" s="26" t="inlineStr">
        <is>
          <t>#FFFFFF</t>
        </is>
      </c>
      <c r="I154" s="18" t="inlineStr">
        <is>
          <t>—</t>
        </is>
      </c>
      <c r="J154" s="18" t="inlineStr">
        <is>
          <t>Engine (auto)</t>
        </is>
      </c>
      <c r="K154" s="5">
        <f>B154-A154</f>
        <v/>
      </c>
      <c r="L154" s="2" t="inlineStr">
        <is>
          <t>5:14.5</t>
        </is>
      </c>
    </row>
    <row r="155">
      <c r="A155" s="17" t="n">
        <v>314.84</v>
      </c>
      <c r="B155" s="17" t="n">
        <v>324.84</v>
      </c>
      <c r="C155" s="18" t="inlineStr">
        <is>
          <t>b22</t>
        </is>
      </c>
      <c r="D155" s="18" t="inlineStr">
        <is>
          <t>Camera move</t>
        </is>
      </c>
      <c r="E155" s="18" t="inlineStr">
        <is>
          <t>Camera ease back out</t>
        </is>
      </c>
      <c r="F155" s="18" t="inlineStr">
        <is>
          <t>same place</t>
        </is>
      </c>
      <c r="G155" s="18" t="inlineStr">
        <is>
          <t>—</t>
        </is>
      </c>
      <c r="H155" s="18" t="inlineStr"/>
      <c r="I155" s="18" t="inlineStr">
        <is>
          <t>—</t>
        </is>
      </c>
      <c r="J155" s="18" t="inlineStr">
        <is>
          <t>Your plan</t>
        </is>
      </c>
      <c r="K155" s="5">
        <f>B155-A155</f>
        <v/>
      </c>
      <c r="L155" s="2" t="inlineStr">
        <is>
          <t>5:14.8</t>
        </is>
      </c>
    </row>
    <row r="156">
      <c r="A156" s="17" t="n">
        <v>324.84</v>
      </c>
      <c r="B156" s="17" t="n">
        <v>332.2</v>
      </c>
      <c r="C156" s="18" t="inlineStr">
        <is>
          <t>b22</t>
        </is>
      </c>
      <c r="D156" s="18" t="inlineStr">
        <is>
          <t>Camera move</t>
        </is>
      </c>
      <c r="E156" s="18" t="inlineStr">
        <is>
          <t>Camera slow push in</t>
        </is>
      </c>
      <c r="F156" s="18" t="inlineStr">
        <is>
          <t>same place</t>
        </is>
      </c>
      <c r="G156" s="18" t="inlineStr">
        <is>
          <t>—</t>
        </is>
      </c>
      <c r="H156" s="18" t="inlineStr"/>
      <c r="I156" s="18" t="inlineStr">
        <is>
          <t>—</t>
        </is>
      </c>
      <c r="J156" s="18" t="inlineStr">
        <is>
          <t>Your plan</t>
        </is>
      </c>
      <c r="K156" s="5">
        <f>B156-A156</f>
        <v/>
      </c>
      <c r="L156" s="2" t="inlineStr">
        <is>
          <t>5:24.8</t>
        </is>
      </c>
    </row>
    <row r="157">
      <c r="A157" s="17" t="n">
        <v>332.8</v>
      </c>
      <c r="B157" s="17" t="n">
        <v>342.8</v>
      </c>
      <c r="C157" s="18" t="inlineStr">
        <is>
          <t>b23</t>
        </is>
      </c>
      <c r="D157" s="18" t="inlineStr">
        <is>
          <t>Camera move</t>
        </is>
      </c>
      <c r="E157" s="18" t="inlineStr">
        <is>
          <t>Camera ease back out</t>
        </is>
      </c>
      <c r="F157" s="18" t="inlineStr">
        <is>
          <t>same place</t>
        </is>
      </c>
      <c r="G157" s="18" t="inlineStr">
        <is>
          <t>—</t>
        </is>
      </c>
      <c r="H157" s="18" t="inlineStr"/>
      <c r="I157" s="18" t="inlineStr">
        <is>
          <t>—</t>
        </is>
      </c>
      <c r="J157" s="18" t="inlineStr">
        <is>
          <t>Your plan</t>
        </is>
      </c>
      <c r="K157" s="5">
        <f>B157-A157</f>
        <v/>
      </c>
      <c r="L157" s="2" t="inlineStr">
        <is>
          <t>5:32.8</t>
        </is>
      </c>
    </row>
    <row r="158">
      <c r="A158" s="17" t="n">
        <v>342.8</v>
      </c>
      <c r="B158" s="17" t="n">
        <v>347.42</v>
      </c>
      <c r="C158" s="18" t="inlineStr">
        <is>
          <t>b23</t>
        </is>
      </c>
      <c r="D158" s="18" t="inlineStr">
        <is>
          <t>Camera move</t>
        </is>
      </c>
      <c r="E158" s="18" t="inlineStr">
        <is>
          <t>Camera slow push in</t>
        </is>
      </c>
      <c r="F158" s="18" t="inlineStr">
        <is>
          <t>same place</t>
        </is>
      </c>
      <c r="G158" s="18" t="inlineStr">
        <is>
          <t>—</t>
        </is>
      </c>
      <c r="H158" s="18" t="inlineStr"/>
      <c r="I158" s="18" t="inlineStr">
        <is>
          <t>—</t>
        </is>
      </c>
      <c r="J158" s="18" t="inlineStr">
        <is>
          <t>Your plan</t>
        </is>
      </c>
      <c r="K158" s="5">
        <f>B158-A158</f>
        <v/>
      </c>
      <c r="L158" s="2" t="inlineStr">
        <is>
          <t>5:42.8</t>
        </is>
      </c>
    </row>
    <row r="159">
      <c r="A159" s="17" t="n">
        <v>347.72</v>
      </c>
      <c r="B159" s="17" t="n">
        <v>361.08</v>
      </c>
      <c r="C159" s="18" t="inlineStr">
        <is>
          <t>b24</t>
        </is>
      </c>
      <c r="D159" s="18" t="inlineStr">
        <is>
          <t>Map label</t>
        </is>
      </c>
      <c r="E159" s="18" t="inlineStr">
        <is>
          <t>Place label (dot + name)</t>
        </is>
      </c>
      <c r="F159" s="18" t="inlineStr">
        <is>
          <t>BARNWELL COUNTY</t>
        </is>
      </c>
      <c r="G159" s="18" t="inlineStr">
        <is>
          <t>Orange tag</t>
        </is>
      </c>
      <c r="H159" s="19" t="inlineStr">
        <is>
          <t>#E8552B</t>
        </is>
      </c>
      <c r="I159" s="18" t="inlineStr">
        <is>
          <t>US county outlines (bundled)</t>
        </is>
      </c>
      <c r="J159" s="18" t="inlineStr">
        <is>
          <t>Engine (auto)</t>
        </is>
      </c>
      <c r="K159" s="5">
        <f>B159-A159</f>
        <v/>
      </c>
      <c r="L159" s="2" t="inlineStr">
        <is>
          <t>5:47.7</t>
        </is>
      </c>
    </row>
    <row r="160">
      <c r="A160" s="17" t="n">
        <v>352.82</v>
      </c>
      <c r="B160" s="17" t="n">
        <v>361.1</v>
      </c>
      <c r="C160" s="18" t="inlineStr">
        <is>
          <t>b24</t>
        </is>
      </c>
      <c r="D160" s="18" t="inlineStr">
        <is>
          <t>Footage</t>
        </is>
      </c>
      <c r="E160" s="18" t="inlineStr">
        <is>
          <t>Stock video clip</t>
        </is>
      </c>
      <c r="F160" s="18" t="inlineStr">
        <is>
          <t>026.mp4</t>
        </is>
      </c>
      <c r="G160" s="18" t="inlineStr">
        <is>
          <t>Full colour (video)</t>
        </is>
      </c>
      <c r="H160" s="18" t="inlineStr"/>
      <c r="I160" s="18" t="inlineStr">
        <is>
          <t>Pexels stock video</t>
        </is>
      </c>
      <c r="J160" s="18" t="inlineStr">
        <is>
          <t>Your plan / Teamplate cutaway</t>
        </is>
      </c>
      <c r="K160" s="5">
        <f>B160-A160</f>
        <v/>
      </c>
      <c r="L160" s="2" t="inlineStr">
        <is>
          <t>5:52.8</t>
        </is>
      </c>
    </row>
    <row r="161">
      <c r="A161" s="17" t="n">
        <v>365.98</v>
      </c>
      <c r="B161" s="17" t="n">
        <v>374.6</v>
      </c>
      <c r="C161" s="18" t="inlineStr">
        <is>
          <t>b25</t>
        </is>
      </c>
      <c r="D161" s="18" t="inlineStr">
        <is>
          <t>Footage</t>
        </is>
      </c>
      <c r="E161" s="18" t="inlineStr">
        <is>
          <t>Stock video clip</t>
        </is>
      </c>
      <c r="F161" s="18" t="inlineStr">
        <is>
          <t>027.mp4</t>
        </is>
      </c>
      <c r="G161" s="18" t="inlineStr">
        <is>
          <t>Full colour (video)</t>
        </is>
      </c>
      <c r="H161" s="18" t="inlineStr"/>
      <c r="I161" s="18" t="inlineStr">
        <is>
          <t>Pexels stock video</t>
        </is>
      </c>
      <c r="J161" s="18" t="inlineStr">
        <is>
          <t>Your plan / Teamplate cutaway</t>
        </is>
      </c>
      <c r="K161" s="5">
        <f>B161-A161</f>
        <v/>
      </c>
      <c r="L161" s="2" t="inlineStr">
        <is>
          <t>6:06.0</t>
        </is>
      </c>
    </row>
    <row r="162">
      <c r="A162" s="17" t="n">
        <v>374.9</v>
      </c>
      <c r="B162" s="17" t="n">
        <v>384.9</v>
      </c>
      <c r="C162" s="18" t="inlineStr">
        <is>
          <t>b26</t>
        </is>
      </c>
      <c r="D162" s="18" t="inlineStr">
        <is>
          <t>Camera move</t>
        </is>
      </c>
      <c r="E162" s="18" t="inlineStr">
        <is>
          <t>Camera ease back out</t>
        </is>
      </c>
      <c r="F162" s="18" t="inlineStr">
        <is>
          <t>same place</t>
        </is>
      </c>
      <c r="G162" s="18" t="inlineStr">
        <is>
          <t>—</t>
        </is>
      </c>
      <c r="H162" s="18" t="inlineStr"/>
      <c r="I162" s="18" t="inlineStr">
        <is>
          <t>—</t>
        </is>
      </c>
      <c r="J162" s="18" t="inlineStr">
        <is>
          <t>Your plan</t>
        </is>
      </c>
      <c r="K162" s="5">
        <f>B162-A162</f>
        <v/>
      </c>
      <c r="L162" s="2" t="inlineStr">
        <is>
          <t>6:14.9</t>
        </is>
      </c>
    </row>
    <row r="163">
      <c r="A163" s="17" t="n">
        <v>384.9</v>
      </c>
      <c r="B163" s="17" t="n">
        <v>391.98</v>
      </c>
      <c r="C163" s="18" t="inlineStr">
        <is>
          <t>b26</t>
        </is>
      </c>
      <c r="D163" s="18" t="inlineStr">
        <is>
          <t>Camera move</t>
        </is>
      </c>
      <c r="E163" s="18" t="inlineStr">
        <is>
          <t>Camera slow push in</t>
        </is>
      </c>
      <c r="F163" s="18" t="inlineStr">
        <is>
          <t>same place</t>
        </is>
      </c>
      <c r="G163" s="18" t="inlineStr">
        <is>
          <t>—</t>
        </is>
      </c>
      <c r="H163" s="18" t="inlineStr"/>
      <c r="I163" s="18" t="inlineStr">
        <is>
          <t>—</t>
        </is>
      </c>
      <c r="J163" s="18" t="inlineStr">
        <is>
          <t>Your plan</t>
        </is>
      </c>
      <c r="K163" s="5">
        <f>B163-A163</f>
        <v/>
      </c>
      <c r="L163" s="2" t="inlineStr">
        <is>
          <t>6:24.9</t>
        </is>
      </c>
    </row>
    <row r="164">
      <c r="A164" s="17" t="n">
        <v>392.58</v>
      </c>
      <c r="B164" s="17" t="n">
        <v>394.98</v>
      </c>
      <c r="C164" s="18" t="inlineStr">
        <is>
          <t>b27</t>
        </is>
      </c>
      <c r="D164" s="18" t="inlineStr">
        <is>
          <t>Camera move</t>
        </is>
      </c>
      <c r="E164" s="18" t="inlineStr">
        <is>
          <t>Camera fly to place</t>
        </is>
      </c>
      <c r="F164" s="18" t="inlineStr">
        <is>
          <t>38.5,-97.5</t>
        </is>
      </c>
      <c r="G164" s="18" t="inlineStr">
        <is>
          <t>—</t>
        </is>
      </c>
      <c r="H164" s="18" t="inlineStr"/>
      <c r="I164" s="18" t="inlineStr">
        <is>
          <t>—</t>
        </is>
      </c>
      <c r="J164" s="18" t="inlineStr">
        <is>
          <t>Your plan</t>
        </is>
      </c>
      <c r="K164" s="5">
        <f>B164-A164</f>
        <v/>
      </c>
      <c r="L164" s="2" t="inlineStr">
        <is>
          <t>6:32.6</t>
        </is>
      </c>
    </row>
    <row r="165">
      <c r="A165" s="17" t="n">
        <v>395.46</v>
      </c>
      <c r="B165" s="17" t="n">
        <v>400.5</v>
      </c>
      <c r="C165" s="18" t="inlineStr">
        <is>
          <t>b27</t>
        </is>
      </c>
      <c r="D165" s="18" t="inlineStr">
        <is>
          <t>Footage</t>
        </is>
      </c>
      <c r="E165" s="18" t="inlineStr">
        <is>
          <t>Stock video clip</t>
        </is>
      </c>
      <c r="F165" s="18" t="inlineStr">
        <is>
          <t>028.mp4</t>
        </is>
      </c>
      <c r="G165" s="18" t="inlineStr">
        <is>
          <t>Full colour (video)</t>
        </is>
      </c>
      <c r="H165" s="18" t="inlineStr"/>
      <c r="I165" s="18" t="inlineStr">
        <is>
          <t>Pexels stock video</t>
        </is>
      </c>
      <c r="J165" s="18" t="inlineStr">
        <is>
          <t>Your plan / Teamplate cutaway</t>
        </is>
      </c>
      <c r="K165" s="5">
        <f>B165-A165</f>
        <v/>
      </c>
      <c r="L165" s="2" t="inlineStr">
        <is>
          <t>6:35.5</t>
        </is>
      </c>
    </row>
    <row r="166">
      <c r="A166" s="17" t="n">
        <v>400.46</v>
      </c>
      <c r="B166" s="17" t="n">
        <v>405.5</v>
      </c>
      <c r="C166" s="18" t="inlineStr">
        <is>
          <t>b27_x12</t>
        </is>
      </c>
      <c r="D166" s="18" t="inlineStr">
        <is>
          <t>Footage</t>
        </is>
      </c>
      <c r="E166" s="18" t="inlineStr">
        <is>
          <t>Stock video clip</t>
        </is>
      </c>
      <c r="F166" s="18" t="inlineStr">
        <is>
          <t>029.mp4</t>
        </is>
      </c>
      <c r="G166" s="18" t="inlineStr">
        <is>
          <t>Full colour (video)</t>
        </is>
      </c>
      <c r="H166" s="18" t="inlineStr"/>
      <c r="I166" s="18" t="inlineStr">
        <is>
          <t>Pexels stock video</t>
        </is>
      </c>
      <c r="J166" s="18" t="inlineStr">
        <is>
          <t>Your plan / Teamplate cutaway</t>
        </is>
      </c>
      <c r="K166" s="5">
        <f>B166-A166</f>
        <v/>
      </c>
      <c r="L166" s="2" t="inlineStr">
        <is>
          <t>6:40.5</t>
        </is>
      </c>
    </row>
    <row r="167">
      <c r="A167" s="17" t="n">
        <v>405.8</v>
      </c>
      <c r="B167" s="17" t="n">
        <v>411.73</v>
      </c>
      <c r="C167" s="18" t="inlineStr">
        <is>
          <t>b27_r12</t>
        </is>
      </c>
      <c r="D167" s="18" t="inlineStr">
        <is>
          <t>Camera move</t>
        </is>
      </c>
      <c r="E167" s="18" t="inlineStr">
        <is>
          <t>Camera ease back out</t>
        </is>
      </c>
      <c r="F167" s="18" t="inlineStr">
        <is>
          <t>same place</t>
        </is>
      </c>
      <c r="G167" s="18" t="inlineStr">
        <is>
          <t>—</t>
        </is>
      </c>
      <c r="H167" s="18" t="inlineStr"/>
      <c r="I167" s="18" t="inlineStr">
        <is>
          <t>—</t>
        </is>
      </c>
      <c r="J167" s="18" t="inlineStr">
        <is>
          <t>Your plan</t>
        </is>
      </c>
      <c r="K167" s="5">
        <f>B167-A167</f>
        <v/>
      </c>
      <c r="L167" s="2" t="inlineStr">
        <is>
          <t>6:45.8</t>
        </is>
      </c>
    </row>
    <row r="168">
      <c r="A168" s="17" t="n">
        <v>412.02</v>
      </c>
      <c r="B168" s="17" t="n">
        <v>418.09</v>
      </c>
      <c r="C168" s="18" t="inlineStr">
        <is>
          <t>b27_r12</t>
        </is>
      </c>
      <c r="D168" s="18" t="inlineStr">
        <is>
          <t>Footage</t>
        </is>
      </c>
      <c r="E168" s="18" t="inlineStr">
        <is>
          <t>Stock video clip</t>
        </is>
      </c>
      <c r="F168" s="18" t="inlineStr">
        <is>
          <t>030.mp4</t>
        </is>
      </c>
      <c r="G168" s="18" t="inlineStr">
        <is>
          <t>Full colour (video)</t>
        </is>
      </c>
      <c r="H168" s="18" t="inlineStr"/>
      <c r="I168" s="18" t="inlineStr">
        <is>
          <t>Pexels stock video</t>
        </is>
      </c>
      <c r="J168" s="18" t="inlineStr">
        <is>
          <t>Your plan (footage beat)</t>
        </is>
      </c>
      <c r="K168" s="5">
        <f>B168-A168</f>
        <v/>
      </c>
      <c r="L168" s="2" t="inlineStr">
        <is>
          <t>6:52.0</t>
        </is>
      </c>
    </row>
    <row r="169">
      <c r="A169" s="17" t="n">
        <v>418.06</v>
      </c>
      <c r="B169" s="17" t="n">
        <v>424.12</v>
      </c>
      <c r="C169" s="18" t="inlineStr">
        <is>
          <t>b28</t>
        </is>
      </c>
      <c r="D169" s="18" t="inlineStr">
        <is>
          <t>Footage</t>
        </is>
      </c>
      <c r="E169" s="18" t="inlineStr">
        <is>
          <t>Stock video clip</t>
        </is>
      </c>
      <c r="F169" s="18" t="inlineStr">
        <is>
          <t>031.mp4</t>
        </is>
      </c>
      <c r="G169" s="18" t="inlineStr">
        <is>
          <t>Full colour (video)</t>
        </is>
      </c>
      <c r="H169" s="18" t="inlineStr"/>
      <c r="I169" s="18" t="inlineStr">
        <is>
          <t>Pexels stock video</t>
        </is>
      </c>
      <c r="J169" s="18" t="inlineStr">
        <is>
          <t>Your plan (footage beat)</t>
        </is>
      </c>
      <c r="K169" s="5">
        <f>B169-A169</f>
        <v/>
      </c>
      <c r="L169" s="2" t="inlineStr">
        <is>
          <t>6:58.1</t>
        </is>
      </c>
    </row>
    <row r="170">
      <c r="A170" s="17" t="n">
        <v>424.09</v>
      </c>
      <c r="B170" s="17" t="n">
        <v>430.16</v>
      </c>
      <c r="C170" s="18" t="inlineStr">
        <is>
          <t>b28</t>
        </is>
      </c>
      <c r="D170" s="18" t="inlineStr">
        <is>
          <t>Footage</t>
        </is>
      </c>
      <c r="E170" s="18" t="inlineStr">
        <is>
          <t>Stock video clip</t>
        </is>
      </c>
      <c r="F170" s="18" t="inlineStr">
        <is>
          <t>032.mp4</t>
        </is>
      </c>
      <c r="G170" s="18" t="inlineStr">
        <is>
          <t>Full colour (video)</t>
        </is>
      </c>
      <c r="H170" s="18" t="inlineStr"/>
      <c r="I170" s="18" t="inlineStr">
        <is>
          <t>Pexels stock video</t>
        </is>
      </c>
      <c r="J170" s="18" t="inlineStr">
        <is>
          <t>Your plan (footage beat)</t>
        </is>
      </c>
      <c r="K170" s="5">
        <f>B170-A170</f>
        <v/>
      </c>
      <c r="L170" s="2" t="inlineStr">
        <is>
          <t>7:04.1</t>
        </is>
      </c>
    </row>
    <row r="171">
      <c r="A171" s="17" t="n">
        <v>430.46</v>
      </c>
      <c r="B171" s="17" t="n">
        <v>440.46</v>
      </c>
      <c r="C171" s="18" t="inlineStr">
        <is>
          <t>b29</t>
        </is>
      </c>
      <c r="D171" s="18" t="inlineStr">
        <is>
          <t>Camera move</t>
        </is>
      </c>
      <c r="E171" s="18" t="inlineStr">
        <is>
          <t>Camera slow push in</t>
        </is>
      </c>
      <c r="F171" s="18" t="inlineStr">
        <is>
          <t>same place</t>
        </is>
      </c>
      <c r="G171" s="18" t="inlineStr">
        <is>
          <t>—</t>
        </is>
      </c>
      <c r="H171" s="18" t="inlineStr"/>
      <c r="I171" s="18" t="inlineStr">
        <is>
          <t>—</t>
        </is>
      </c>
      <c r="J171" s="18" t="inlineStr">
        <is>
          <t>Your plan</t>
        </is>
      </c>
      <c r="K171" s="5">
        <f>B171-A171</f>
        <v/>
      </c>
      <c r="L171" s="2" t="inlineStr">
        <is>
          <t>7:10.5</t>
        </is>
      </c>
    </row>
    <row r="172">
      <c r="A172" s="17" t="n">
        <v>443.66</v>
      </c>
      <c r="B172" s="17" t="n">
        <v>456.7</v>
      </c>
      <c r="C172" s="18" t="inlineStr">
        <is>
          <t>b30</t>
        </is>
      </c>
      <c r="D172" s="18" t="inlineStr">
        <is>
          <t>Source line</t>
        </is>
      </c>
      <c r="E172" s="18" t="inlineStr">
        <is>
          <t>Source line (bottom text)</t>
        </is>
      </c>
      <c r="F172" s="18" t="inlineStr">
        <is>
          <t>Definitions: National Weather Service (weather.gov/safety/tornado-ww)</t>
        </is>
      </c>
      <c r="G172" s="18" t="inlineStr">
        <is>
          <t>White text</t>
        </is>
      </c>
      <c r="H172" s="26" t="inlineStr">
        <is>
          <t>#FFFFFF</t>
        </is>
      </c>
      <c r="I172" s="18" t="inlineStr">
        <is>
          <t>—</t>
        </is>
      </c>
      <c r="J172" s="18" t="inlineStr">
        <is>
          <t>Engine (auto)</t>
        </is>
      </c>
      <c r="K172" s="5">
        <f>B172-A172</f>
        <v/>
      </c>
      <c r="L172" s="2" t="inlineStr">
        <is>
          <t>7:23.7</t>
        </is>
      </c>
    </row>
    <row r="173">
      <c r="A173" s="17" t="n">
        <v>443.66</v>
      </c>
      <c r="B173" s="17" t="n">
        <v>456.7</v>
      </c>
      <c r="C173" s="18" t="inlineStr">
        <is>
          <t>b30</t>
        </is>
      </c>
      <c r="D173" s="18" t="inlineStr">
        <is>
          <t>Text card</t>
        </is>
      </c>
      <c r="E173" s="18" t="inlineStr">
        <is>
          <t>Explainer card</t>
        </is>
      </c>
      <c r="F173" s="18" t="inlineStr">
        <is>
          <t>TORNADO WATCH: CONDITIONS ARE FAVORABLE FOR TORNADOES</t>
        </is>
      </c>
      <c r="G173" s="18" t="inlineStr">
        <is>
          <t>Yellow</t>
        </is>
      </c>
      <c r="H173" s="28" t="inlineStr">
        <is>
          <t>#FFD43B</t>
        </is>
      </c>
      <c r="I173" s="18" t="inlineStr">
        <is>
          <t>NWS definitions (weather.gov)</t>
        </is>
      </c>
      <c r="J173" s="18" t="inlineStr">
        <is>
          <t>Engine (auto)</t>
        </is>
      </c>
      <c r="K173" s="5">
        <f>B173-A173</f>
        <v/>
      </c>
      <c r="L173" s="2" t="inlineStr">
        <is>
          <t>7:23.7</t>
        </is>
      </c>
    </row>
    <row r="174">
      <c r="A174" s="17" t="n">
        <v>443.66</v>
      </c>
      <c r="B174" s="17" t="n">
        <v>456.7</v>
      </c>
      <c r="C174" s="18" t="inlineStr">
        <is>
          <t>b30</t>
        </is>
      </c>
      <c r="D174" s="18" t="inlineStr">
        <is>
          <t>Text card</t>
        </is>
      </c>
      <c r="E174" s="18" t="inlineStr">
        <is>
          <t>Explainer card</t>
        </is>
      </c>
      <c r="F174" s="18" t="inlineStr">
        <is>
          <t>TORNADO WARNING: A TORNADO HAS BEEN SIGHTED OR INDICATED BY WEATHER RADAR</t>
        </is>
      </c>
      <c r="G174" s="18" t="inlineStr">
        <is>
          <t>Red</t>
        </is>
      </c>
      <c r="H174" s="29" t="inlineStr">
        <is>
          <t>#E8364F</t>
        </is>
      </c>
      <c r="I174" s="18" t="inlineStr">
        <is>
          <t>NWS definitions (weather.gov)</t>
        </is>
      </c>
      <c r="J174" s="18" t="inlineStr">
        <is>
          <t>Engine (auto)</t>
        </is>
      </c>
      <c r="K174" s="5">
        <f>B174-A174</f>
        <v/>
      </c>
      <c r="L174" s="2" t="inlineStr">
        <is>
          <t>7:23.7</t>
        </is>
      </c>
    </row>
    <row r="175">
      <c r="A175" s="17" t="n">
        <v>443.96</v>
      </c>
      <c r="B175" s="17" t="n">
        <v>446.36</v>
      </c>
      <c r="C175" s="18" t="inlineStr">
        <is>
          <t>b30</t>
        </is>
      </c>
      <c r="D175" s="18" t="inlineStr">
        <is>
          <t>Camera move</t>
        </is>
      </c>
      <c r="E175" s="18" t="inlineStr">
        <is>
          <t>Camera fly to place</t>
        </is>
      </c>
      <c r="F175" s="18" t="inlineStr">
        <is>
          <t>South Carolina</t>
        </is>
      </c>
      <c r="G175" s="18" t="inlineStr">
        <is>
          <t>—</t>
        </is>
      </c>
      <c r="H175" s="18" t="inlineStr"/>
      <c r="I175" s="18" t="inlineStr">
        <is>
          <t>—</t>
        </is>
      </c>
      <c r="J175" s="18" t="inlineStr">
        <is>
          <t>Your plan</t>
        </is>
      </c>
      <c r="K175" s="5">
        <f>B175-A175</f>
        <v/>
      </c>
      <c r="L175" s="2" t="inlineStr">
        <is>
          <t>7:24.0</t>
        </is>
      </c>
    </row>
    <row r="176">
      <c r="A176" s="17" t="n">
        <v>446.66</v>
      </c>
      <c r="B176" s="17" t="n">
        <v>456.4</v>
      </c>
      <c r="C176" s="18" t="inlineStr">
        <is>
          <t>b30</t>
        </is>
      </c>
      <c r="D176" s="18" t="inlineStr">
        <is>
          <t>Camera move</t>
        </is>
      </c>
      <c r="E176" s="18" t="inlineStr">
        <is>
          <t>Camera ease back out</t>
        </is>
      </c>
      <c r="F176" s="18" t="inlineStr">
        <is>
          <t>same place</t>
        </is>
      </c>
      <c r="G176" s="18" t="inlineStr">
        <is>
          <t>—</t>
        </is>
      </c>
      <c r="H176" s="18" t="inlineStr"/>
      <c r="I176" s="18" t="inlineStr">
        <is>
          <t>—</t>
        </is>
      </c>
      <c r="J176" s="18" t="inlineStr">
        <is>
          <t>Your plan</t>
        </is>
      </c>
      <c r="K176" s="5">
        <f>B176-A176</f>
        <v/>
      </c>
      <c r="L176" s="2" t="inlineStr">
        <is>
          <t>7:26.7</t>
        </is>
      </c>
    </row>
    <row r="177">
      <c r="A177" s="17" t="n">
        <v>457</v>
      </c>
      <c r="B177" s="17" t="n">
        <v>467</v>
      </c>
      <c r="C177" s="18" t="inlineStr">
        <is>
          <t>b31</t>
        </is>
      </c>
      <c r="D177" s="18" t="inlineStr">
        <is>
          <t>Camera move</t>
        </is>
      </c>
      <c r="E177" s="18" t="inlineStr">
        <is>
          <t>Camera slow push in</t>
        </is>
      </c>
      <c r="F177" s="18" t="inlineStr">
        <is>
          <t>same place</t>
        </is>
      </c>
      <c r="G177" s="18" t="inlineStr">
        <is>
          <t>—</t>
        </is>
      </c>
      <c r="H177" s="18" t="inlineStr"/>
      <c r="I177" s="18" t="inlineStr">
        <is>
          <t>—</t>
        </is>
      </c>
      <c r="J177" s="18" t="inlineStr">
        <is>
          <t>Your plan</t>
        </is>
      </c>
      <c r="K177" s="5">
        <f>B177-A177</f>
        <v/>
      </c>
      <c r="L177" s="2" t="inlineStr">
        <is>
          <t>7:37.0</t>
        </is>
      </c>
    </row>
    <row r="178">
      <c r="A178" s="17" t="n">
        <v>467</v>
      </c>
      <c r="B178" s="17" t="n">
        <v>471.24</v>
      </c>
      <c r="C178" s="18" t="inlineStr">
        <is>
          <t>b31</t>
        </is>
      </c>
      <c r="D178" s="18" t="inlineStr">
        <is>
          <t>Camera move</t>
        </is>
      </c>
      <c r="E178" s="18" t="inlineStr">
        <is>
          <t>Camera ease back out</t>
        </is>
      </c>
      <c r="F178" s="18" t="inlineStr">
        <is>
          <t>same place</t>
        </is>
      </c>
      <c r="G178" s="18" t="inlineStr">
        <is>
          <t>—</t>
        </is>
      </c>
      <c r="H178" s="18" t="inlineStr"/>
      <c r="I178" s="18" t="inlineStr">
        <is>
          <t>—</t>
        </is>
      </c>
      <c r="J178" s="18" t="inlineStr">
        <is>
          <t>Your plan</t>
        </is>
      </c>
      <c r="K178" s="5">
        <f>B178-A178</f>
        <v/>
      </c>
      <c r="L178" s="2" t="inlineStr">
        <is>
          <t>7:47.0</t>
        </is>
      </c>
    </row>
    <row r="179">
      <c r="A179" s="17" t="n">
        <v>471.54</v>
      </c>
      <c r="B179" s="17" t="n">
        <v>476.28</v>
      </c>
      <c r="C179" s="18" t="inlineStr">
        <is>
          <t>b31</t>
        </is>
      </c>
      <c r="D179" s="18" t="inlineStr">
        <is>
          <t>Footage</t>
        </is>
      </c>
      <c r="E179" s="18" t="inlineStr">
        <is>
          <t>Stock video clip</t>
        </is>
      </c>
      <c r="F179" s="18" t="inlineStr">
        <is>
          <t>033.mp4</t>
        </is>
      </c>
      <c r="G179" s="18" t="inlineStr">
        <is>
          <t>Full colour (video)</t>
        </is>
      </c>
      <c r="H179" s="18" t="inlineStr"/>
      <c r="I179" s="18" t="inlineStr">
        <is>
          <t>Pexels stock video</t>
        </is>
      </c>
      <c r="J179" s="18" t="inlineStr">
        <is>
          <t>Your plan (footage beat)</t>
        </is>
      </c>
      <c r="K179" s="5">
        <f>B179-A179</f>
        <v/>
      </c>
      <c r="L179" s="2" t="inlineStr">
        <is>
          <t>7:51.5</t>
        </is>
      </c>
    </row>
    <row r="180">
      <c r="A180" s="17" t="n">
        <v>476.24</v>
      </c>
      <c r="B180" s="17" t="n">
        <v>480.98</v>
      </c>
      <c r="C180" s="18" t="inlineStr">
        <is>
          <t>b32</t>
        </is>
      </c>
      <c r="D180" s="18" t="inlineStr">
        <is>
          <t>Footage</t>
        </is>
      </c>
      <c r="E180" s="18" t="inlineStr">
        <is>
          <t>Stock video clip</t>
        </is>
      </c>
      <c r="F180" s="18" t="inlineStr">
        <is>
          <t>034.mp4</t>
        </is>
      </c>
      <c r="G180" s="18" t="inlineStr">
        <is>
          <t>Full colour (video)</t>
        </is>
      </c>
      <c r="H180" s="18" t="inlineStr"/>
      <c r="I180" s="18" t="inlineStr">
        <is>
          <t>Pexels stock video</t>
        </is>
      </c>
      <c r="J180" s="18" t="inlineStr">
        <is>
          <t>Your plan (footage beat)</t>
        </is>
      </c>
      <c r="K180" s="5">
        <f>B180-A180</f>
        <v/>
      </c>
      <c r="L180" s="2" t="inlineStr">
        <is>
          <t>7:56.2</t>
        </is>
      </c>
    </row>
    <row r="181">
      <c r="A181" s="17" t="n">
        <v>480.94</v>
      </c>
      <c r="B181" s="17" t="n">
        <v>485.68</v>
      </c>
      <c r="C181" s="18" t="inlineStr">
        <is>
          <t>b32</t>
        </is>
      </c>
      <c r="D181" s="18" t="inlineStr">
        <is>
          <t>Footage</t>
        </is>
      </c>
      <c r="E181" s="18" t="inlineStr">
        <is>
          <t>Stock video clip</t>
        </is>
      </c>
      <c r="F181" s="18" t="inlineStr">
        <is>
          <t>035.mp4</t>
        </is>
      </c>
      <c r="G181" s="18" t="inlineStr">
        <is>
          <t>Full colour (video)</t>
        </is>
      </c>
      <c r="H181" s="18" t="inlineStr"/>
      <c r="I181" s="18" t="inlineStr">
        <is>
          <t>Pexels stock video</t>
        </is>
      </c>
      <c r="J181" s="18" t="inlineStr">
        <is>
          <t>Your plan (footage beat)</t>
        </is>
      </c>
      <c r="K181" s="5">
        <f>B181-A181</f>
        <v/>
      </c>
      <c r="L181" s="2" t="inlineStr">
        <is>
          <t>8:00.9</t>
        </is>
      </c>
    </row>
    <row r="182">
      <c r="A182" s="17" t="n">
        <v>486.21</v>
      </c>
      <c r="B182" s="17" t="n">
        <v>488.61</v>
      </c>
      <c r="C182" s="18" t="inlineStr">
        <is>
          <t>b33</t>
        </is>
      </c>
      <c r="D182" s="18" t="inlineStr">
        <is>
          <t>Camera move</t>
        </is>
      </c>
      <c r="E182" s="18" t="inlineStr">
        <is>
          <t>Camera fly to place</t>
        </is>
      </c>
      <c r="F182" s="18" t="inlineStr">
        <is>
          <t>34.40,-81.42</t>
        </is>
      </c>
      <c r="G182" s="18" t="inlineStr">
        <is>
          <t>—</t>
        </is>
      </c>
      <c r="H182" s="18" t="inlineStr"/>
      <c r="I182" s="18" t="inlineStr">
        <is>
          <t>—</t>
        </is>
      </c>
      <c r="J182" s="18" t="inlineStr">
        <is>
          <t>Your plan</t>
        </is>
      </c>
      <c r="K182" s="5">
        <f>B182-A182</f>
        <v/>
      </c>
      <c r="L182" s="2" t="inlineStr">
        <is>
          <t>8:06.2</t>
        </is>
      </c>
    </row>
    <row r="183">
      <c r="A183" s="17" t="n">
        <v>488.91</v>
      </c>
      <c r="B183" s="17" t="n">
        <v>498.91</v>
      </c>
      <c r="C183" s="18" t="inlineStr">
        <is>
          <t>b33</t>
        </is>
      </c>
      <c r="D183" s="18" t="inlineStr">
        <is>
          <t>Camera move</t>
        </is>
      </c>
      <c r="E183" s="18" t="inlineStr">
        <is>
          <t>Camera slow push in</t>
        </is>
      </c>
      <c r="F183" s="18" t="inlineStr">
        <is>
          <t>same place</t>
        </is>
      </c>
      <c r="G183" s="18" t="inlineStr">
        <is>
          <t>—</t>
        </is>
      </c>
      <c r="H183" s="18" t="inlineStr"/>
      <c r="I183" s="18" t="inlineStr">
        <is>
          <t>—</t>
        </is>
      </c>
      <c r="J183" s="18" t="inlineStr">
        <is>
          <t>Your plan</t>
        </is>
      </c>
      <c r="K183" s="5">
        <f>B183-A183</f>
        <v/>
      </c>
      <c r="L183" s="2" t="inlineStr">
        <is>
          <t>8:08.9</t>
        </is>
      </c>
    </row>
    <row r="184">
      <c r="A184" s="17" t="n">
        <v>493.62</v>
      </c>
      <c r="B184" s="17" t="n">
        <v>503.98</v>
      </c>
      <c r="C184" s="18" t="inlineStr">
        <is>
          <t>b33</t>
        </is>
      </c>
      <c r="D184" s="18" t="inlineStr">
        <is>
          <t>Legend / key</t>
        </is>
      </c>
      <c r="E184" s="18" t="inlineStr">
        <is>
          <t>Legend panel</t>
        </is>
      </c>
      <c r="F184" s="18" t="inlineStr">
        <is>
          <t>EF0 TORNADO TRACK, EF1 TORNADO TRACK, EF2 TORNADO TRACK, SURVEYED · PRELIMINARY</t>
        </is>
      </c>
      <c r="G184" s="18" t="inlineStr">
        <is>
          <t>Dark panel; swatches Orange, Red-orange, White, Yellow</t>
        </is>
      </c>
      <c r="H184" s="18" t="inlineStr"/>
      <c r="I184" s="18" t="inlineStr">
        <is>
          <t>—</t>
        </is>
      </c>
      <c r="J184" s="18" t="inlineStr">
        <is>
          <t>Engine (auto)</t>
        </is>
      </c>
      <c r="K184" s="5">
        <f>B184-A184</f>
        <v/>
      </c>
      <c r="L184" s="2" t="inlineStr">
        <is>
          <t>8:13.6</t>
        </is>
      </c>
    </row>
    <row r="185">
      <c r="A185" s="17" t="n">
        <v>493.62</v>
      </c>
      <c r="B185" s="17" t="n">
        <v>503.98</v>
      </c>
      <c r="C185" s="18" t="inlineStr">
        <is>
          <t>b33</t>
        </is>
      </c>
      <c r="D185" s="18" t="inlineStr">
        <is>
          <t>Map data graphic</t>
        </is>
      </c>
      <c r="E185" s="18" t="inlineStr">
        <is>
          <t>Tornado track line</t>
        </is>
      </c>
      <c r="F185" s="18" t="inlineStr">
        <is>
          <t>Captolo Tornado — EF0, 80 mph, 1.45 mi, 25 yd (starts in GA; layer survey_3)</t>
        </is>
      </c>
      <c r="G185" s="18" t="inlineStr">
        <is>
          <t>Yellow</t>
        </is>
      </c>
      <c r="H185" s="23" t="inlineStr">
        <is>
          <t>#FFE066</t>
        </is>
      </c>
      <c r="I185" s="18" t="inlineStr">
        <is>
          <t>NWS Damage Assessment Toolkit (preliminary)</t>
        </is>
      </c>
      <c r="J185" s="18" t="inlineStr">
        <is>
          <t>Engine (auto)</t>
        </is>
      </c>
      <c r="K185" s="5">
        <f>B185-A185</f>
        <v/>
      </c>
      <c r="L185" s="2" t="inlineStr">
        <is>
          <t>8:13.6</t>
        </is>
      </c>
    </row>
    <row r="186">
      <c r="A186" s="17" t="n">
        <v>493.62</v>
      </c>
      <c r="B186" s="17" t="n">
        <v>503.98</v>
      </c>
      <c r="C186" s="18" t="inlineStr">
        <is>
          <t>b33</t>
        </is>
      </c>
      <c r="D186" s="18" t="inlineStr">
        <is>
          <t>Map data graphic</t>
        </is>
      </c>
      <c r="E186" s="18" t="inlineStr">
        <is>
          <t>Tornado track line</t>
        </is>
      </c>
      <c r="F186" s="18" t="inlineStr">
        <is>
          <t>Eastern Screven County Tornado — EF1, 105 mph, 7.49 mi, 200 yd (starts in GA; layer survey_3)</t>
        </is>
      </c>
      <c r="G186" s="18" t="inlineStr">
        <is>
          <t>Orange</t>
        </is>
      </c>
      <c r="H186" s="24" t="inlineStr">
        <is>
          <t>#FFA94D</t>
        </is>
      </c>
      <c r="I186" s="18" t="inlineStr">
        <is>
          <t>NWS Damage Assessment Toolkit (preliminary)</t>
        </is>
      </c>
      <c r="J186" s="18" t="inlineStr">
        <is>
          <t>Engine (auto)</t>
        </is>
      </c>
      <c r="K186" s="5">
        <f>B186-A186</f>
        <v/>
      </c>
      <c r="L186" s="2" t="inlineStr">
        <is>
          <t>8:13.6</t>
        </is>
      </c>
    </row>
    <row r="187">
      <c r="A187" s="17" t="n">
        <v>493.62</v>
      </c>
      <c r="B187" s="17" t="n">
        <v>503.98</v>
      </c>
      <c r="C187" s="18" t="inlineStr">
        <is>
          <t>b33</t>
        </is>
      </c>
      <c r="D187" s="18" t="inlineStr">
        <is>
          <t>Map data graphic</t>
        </is>
      </c>
      <c r="E187" s="18" t="inlineStr">
        <is>
          <t>Tornado track line</t>
        </is>
      </c>
      <c r="F187" s="18" t="inlineStr">
        <is>
          <t>Waynesboro Tornado — EF1, 110 mph, 2.70 mi, 350 yd (starts in GA; layer survey_3)</t>
        </is>
      </c>
      <c r="G187" s="18" t="inlineStr">
        <is>
          <t>Orange</t>
        </is>
      </c>
      <c r="H187" s="24" t="inlineStr">
        <is>
          <t>#FFA94D</t>
        </is>
      </c>
      <c r="I187" s="18" t="inlineStr">
        <is>
          <t>NWS Damage Assessment Toolkit (preliminary)</t>
        </is>
      </c>
      <c r="J187" s="18" t="inlineStr">
        <is>
          <t>Engine (auto)</t>
        </is>
      </c>
      <c r="K187" s="5">
        <f>B187-A187</f>
        <v/>
      </c>
      <c r="L187" s="2" t="inlineStr">
        <is>
          <t>8:13.6</t>
        </is>
      </c>
    </row>
    <row r="188">
      <c r="A188" s="17" t="n">
        <v>493.62</v>
      </c>
      <c r="B188" s="17" t="n">
        <v>503.98</v>
      </c>
      <c r="C188" s="18" t="inlineStr">
        <is>
          <t>b33</t>
        </is>
      </c>
      <c r="D188" s="18" t="inlineStr">
        <is>
          <t>Map data graphic</t>
        </is>
      </c>
      <c r="E188" s="18" t="inlineStr">
        <is>
          <t>Tornado track line</t>
        </is>
      </c>
      <c r="F188" s="18" t="inlineStr">
        <is>
          <t>Western Allendale Co Tornado — EF1, 110 mph, 3.20 mi, 350 yd (starts in SC; layer survey_3)</t>
        </is>
      </c>
      <c r="G188" s="18" t="inlineStr">
        <is>
          <t>Orange</t>
        </is>
      </c>
      <c r="H188" s="24" t="inlineStr">
        <is>
          <t>#FFA94D</t>
        </is>
      </c>
      <c r="I188" s="18" t="inlineStr">
        <is>
          <t>NWS Damage Assessment Toolkit (preliminary)</t>
        </is>
      </c>
      <c r="J188" s="18" t="inlineStr">
        <is>
          <t>Engine (auto)</t>
        </is>
      </c>
      <c r="K188" s="5">
        <f>B188-A188</f>
        <v/>
      </c>
      <c r="L188" s="2" t="inlineStr">
        <is>
          <t>8:13.6</t>
        </is>
      </c>
    </row>
    <row r="189">
      <c r="A189" s="17" t="n">
        <v>493.62</v>
      </c>
      <c r="B189" s="17" t="n">
        <v>503.98</v>
      </c>
      <c r="C189" s="18" t="inlineStr">
        <is>
          <t>b33</t>
        </is>
      </c>
      <c r="D189" s="18" t="inlineStr">
        <is>
          <t>Map data graphic</t>
        </is>
      </c>
      <c r="E189" s="18" t="inlineStr">
        <is>
          <t>Tornado track line</t>
        </is>
      </c>
      <c r="F189" s="18" t="inlineStr">
        <is>
          <t>Northern Allendale Tornado — EF1, 105 mph, 1.75 mi, 200 yd (starts in SC; layer survey_3)</t>
        </is>
      </c>
      <c r="G189" s="18" t="inlineStr">
        <is>
          <t>Orange</t>
        </is>
      </c>
      <c r="H189" s="24" t="inlineStr">
        <is>
          <t>#FFA94D</t>
        </is>
      </c>
      <c r="I189" s="18" t="inlineStr">
        <is>
          <t>NWS Damage Assessment Toolkit (preliminary)</t>
        </is>
      </c>
      <c r="J189" s="18" t="inlineStr">
        <is>
          <t>Engine (auto)</t>
        </is>
      </c>
      <c r="K189" s="5">
        <f>B189-A189</f>
        <v/>
      </c>
      <c r="L189" s="2" t="inlineStr">
        <is>
          <t>8:13.6</t>
        </is>
      </c>
    </row>
    <row r="190">
      <c r="A190" s="17" t="n">
        <v>493.62</v>
      </c>
      <c r="B190" s="17" t="n">
        <v>503.98</v>
      </c>
      <c r="C190" s="18" t="inlineStr">
        <is>
          <t>b33</t>
        </is>
      </c>
      <c r="D190" s="18" t="inlineStr">
        <is>
          <t>Map data graphic</t>
        </is>
      </c>
      <c r="E190" s="18" t="inlineStr">
        <is>
          <t>Tornado track line</t>
        </is>
      </c>
      <c r="F190" s="18" t="inlineStr">
        <is>
          <t>Kline Tornado — EF1, 95 mph, 1.96 mi, 100 yd (starts in SC; layer survey_3)</t>
        </is>
      </c>
      <c r="G190" s="18" t="inlineStr">
        <is>
          <t>Orange</t>
        </is>
      </c>
      <c r="H190" s="24" t="inlineStr">
        <is>
          <t>#FFA94D</t>
        </is>
      </c>
      <c r="I190" s="18" t="inlineStr">
        <is>
          <t>NWS Damage Assessment Toolkit (preliminary)</t>
        </is>
      </c>
      <c r="J190" s="18" t="inlineStr">
        <is>
          <t>Engine (auto)</t>
        </is>
      </c>
      <c r="K190" s="5">
        <f>B190-A190</f>
        <v/>
      </c>
      <c r="L190" s="2" t="inlineStr">
        <is>
          <t>8:13.6</t>
        </is>
      </c>
    </row>
    <row r="191">
      <c r="A191" s="17" t="n">
        <v>493.62</v>
      </c>
      <c r="B191" s="17" t="n">
        <v>503.98</v>
      </c>
      <c r="C191" s="18" t="inlineStr">
        <is>
          <t>b33</t>
        </is>
      </c>
      <c r="D191" s="18" t="inlineStr">
        <is>
          <t>Map data graphic</t>
        </is>
      </c>
      <c r="E191" s="18" t="inlineStr">
        <is>
          <t>Tornado track line</t>
        </is>
      </c>
      <c r="F191" s="18" t="inlineStr">
        <is>
          <t>Barnwell Tornado — EF2, 115 mph, 18.04 mi, 250 yd (starts in SC; layer survey_3)</t>
        </is>
      </c>
      <c r="G191" s="18" t="inlineStr">
        <is>
          <t>Red-orange</t>
        </is>
      </c>
      <c r="H191" s="25" t="inlineStr">
        <is>
          <t>#FF6B3D</t>
        </is>
      </c>
      <c r="I191" s="18" t="inlineStr">
        <is>
          <t>NWS Damage Assessment Toolkit (preliminary)</t>
        </is>
      </c>
      <c r="J191" s="18" t="inlineStr">
        <is>
          <t>Engine (auto)</t>
        </is>
      </c>
      <c r="K191" s="5">
        <f>B191-A191</f>
        <v/>
      </c>
      <c r="L191" s="2" t="inlineStr">
        <is>
          <t>8:13.6</t>
        </is>
      </c>
    </row>
    <row r="192">
      <c r="A192" s="17" t="n">
        <v>493.62</v>
      </c>
      <c r="B192" s="17" t="n">
        <v>503.98</v>
      </c>
      <c r="C192" s="18" t="inlineStr">
        <is>
          <t>b33</t>
        </is>
      </c>
      <c r="D192" s="18" t="inlineStr">
        <is>
          <t>Map data graphic</t>
        </is>
      </c>
      <c r="E192" s="18" t="inlineStr">
        <is>
          <t>Tornado track line</t>
        </is>
      </c>
      <c r="F192" s="18" t="inlineStr">
        <is>
          <t>Wagener Tornado — EF1, 105 mph, 3.22 mi, 150 yd (starts in SC; layer survey_3)</t>
        </is>
      </c>
      <c r="G192" s="18" t="inlineStr">
        <is>
          <t>Orange</t>
        </is>
      </c>
      <c r="H192" s="24" t="inlineStr">
        <is>
          <t>#FFA94D</t>
        </is>
      </c>
      <c r="I192" s="18" t="inlineStr">
        <is>
          <t>NWS Damage Assessment Toolkit (preliminary)</t>
        </is>
      </c>
      <c r="J192" s="18" t="inlineStr">
        <is>
          <t>Engine (auto)</t>
        </is>
      </c>
      <c r="K192" s="5">
        <f>B192-A192</f>
        <v/>
      </c>
      <c r="L192" s="2" t="inlineStr">
        <is>
          <t>8:13.6</t>
        </is>
      </c>
    </row>
    <row r="193">
      <c r="A193" s="17" t="n">
        <v>493.62</v>
      </c>
      <c r="B193" s="17" t="n">
        <v>503.98</v>
      </c>
      <c r="C193" s="18" t="inlineStr">
        <is>
          <t>b33</t>
        </is>
      </c>
      <c r="D193" s="18" t="inlineStr">
        <is>
          <t>Map data graphic</t>
        </is>
      </c>
      <c r="E193" s="18" t="inlineStr">
        <is>
          <t>Tornado track line</t>
        </is>
      </c>
      <c r="F193" s="18" t="inlineStr">
        <is>
          <t>Newberry tornado (unnamed in DAT) — EF2, 115 mph, 1.47 mi, 450 yd (starts in SC; layer survey_3)</t>
        </is>
      </c>
      <c r="G193" s="18" t="inlineStr">
        <is>
          <t>Red-orange</t>
        </is>
      </c>
      <c r="H193" s="25" t="inlineStr">
        <is>
          <t>#FF6B3D</t>
        </is>
      </c>
      <c r="I193" s="18" t="inlineStr">
        <is>
          <t>NWS Damage Assessment Toolkit (preliminary)</t>
        </is>
      </c>
      <c r="J193" s="18" t="inlineStr">
        <is>
          <t>Engine (auto)</t>
        </is>
      </c>
      <c r="K193" s="5">
        <f>B193-A193</f>
        <v/>
      </c>
      <c r="L193" s="2" t="inlineStr">
        <is>
          <t>8:13.6</t>
        </is>
      </c>
    </row>
    <row r="194">
      <c r="A194" s="17" t="n">
        <v>493.62</v>
      </c>
      <c r="B194" s="17" t="n">
        <v>503.98</v>
      </c>
      <c r="C194" s="18" t="inlineStr">
        <is>
          <t>b33</t>
        </is>
      </c>
      <c r="D194" s="18" t="inlineStr">
        <is>
          <t>Map data graphic</t>
        </is>
      </c>
      <c r="E194" s="18" t="inlineStr">
        <is>
          <t>Tornado track line</t>
        </is>
      </c>
      <c r="F194" s="18" t="inlineStr">
        <is>
          <t>(unnamed in DAT) — EF2, 115 mph, 5.30 mi, 150 yd (starts in NC; layer survey_3)</t>
        </is>
      </c>
      <c r="G194" s="18" t="inlineStr">
        <is>
          <t>Red-orange</t>
        </is>
      </c>
      <c r="H194" s="25" t="inlineStr">
        <is>
          <t>#FF6B3D</t>
        </is>
      </c>
      <c r="I194" s="18" t="inlineStr">
        <is>
          <t>NWS Damage Assessment Toolkit (preliminary)</t>
        </is>
      </c>
      <c r="J194" s="18" t="inlineStr">
        <is>
          <t>Engine (auto)</t>
        </is>
      </c>
      <c r="K194" s="5">
        <f>B194-A194</f>
        <v/>
      </c>
      <c r="L194" s="2" t="inlineStr">
        <is>
          <t>8:13.6</t>
        </is>
      </c>
    </row>
    <row r="195">
      <c r="A195" s="17" t="n">
        <v>493.62</v>
      </c>
      <c r="B195" s="17" t="n">
        <v>503.98</v>
      </c>
      <c r="C195" s="18" t="inlineStr">
        <is>
          <t>b33</t>
        </is>
      </c>
      <c r="D195" s="18" t="inlineStr">
        <is>
          <t>Map data graphic</t>
        </is>
      </c>
      <c r="E195" s="18" t="inlineStr">
        <is>
          <t>Tornado track line</t>
        </is>
      </c>
      <c r="F195" s="18" t="inlineStr">
        <is>
          <t>Clarendon Tornado — EF0, 80 mph, 0.13 mi, 20 yd (starts in NC; layer survey_3)</t>
        </is>
      </c>
      <c r="G195" s="18" t="inlineStr">
        <is>
          <t>Yellow</t>
        </is>
      </c>
      <c r="H195" s="23" t="inlineStr">
        <is>
          <t>#FFE066</t>
        </is>
      </c>
      <c r="I195" s="18" t="inlineStr">
        <is>
          <t>NWS Damage Assessment Toolkit (preliminary)</t>
        </is>
      </c>
      <c r="J195" s="18" t="inlineStr">
        <is>
          <t>Engine (auto)</t>
        </is>
      </c>
      <c r="K195" s="5">
        <f>B195-A195</f>
        <v/>
      </c>
      <c r="L195" s="2" t="inlineStr">
        <is>
          <t>8:13.6</t>
        </is>
      </c>
    </row>
    <row r="196">
      <c r="A196" s="17" t="n">
        <v>493.62</v>
      </c>
      <c r="B196" s="17" t="n">
        <v>503.98</v>
      </c>
      <c r="C196" s="18" t="inlineStr">
        <is>
          <t>b33</t>
        </is>
      </c>
      <c r="D196" s="18" t="inlineStr">
        <is>
          <t>Map data graphic</t>
        </is>
      </c>
      <c r="E196" s="18" t="inlineStr">
        <is>
          <t>Track label chip</t>
        </is>
      </c>
      <c r="F196" s="18" t="inlineStr">
        <is>
          <t>EF2 · 115 MPH · 1.47 MI · 450 YD</t>
        </is>
      </c>
      <c r="G196" s="18" t="inlineStr">
        <is>
          <t>Red-orange</t>
        </is>
      </c>
      <c r="H196" s="25" t="inlineStr">
        <is>
          <t>#FF6B3D</t>
        </is>
      </c>
      <c r="I196" s="18" t="inlineStr">
        <is>
          <t>NWS Damage Assessment Toolkit (preliminary)</t>
        </is>
      </c>
      <c r="J196" s="18" t="inlineStr">
        <is>
          <t>Engine (auto)</t>
        </is>
      </c>
      <c r="K196" s="5">
        <f>B196-A196</f>
        <v/>
      </c>
      <c r="L196" s="2" t="inlineStr">
        <is>
          <t>8:13.6</t>
        </is>
      </c>
    </row>
    <row r="197">
      <c r="A197" s="17" t="n">
        <v>493.62</v>
      </c>
      <c r="B197" s="17" t="n">
        <v>503.98</v>
      </c>
      <c r="C197" s="18" t="inlineStr">
        <is>
          <t>b33</t>
        </is>
      </c>
      <c r="D197" s="18" t="inlineStr">
        <is>
          <t>Source line</t>
        </is>
      </c>
      <c r="E197" s="18" t="inlineStr">
        <is>
          <t>Source line (bottom text)</t>
        </is>
      </c>
      <c r="F197" s="18" t="inlineStr">
        <is>
          <t>Tornado surveys: NWS Damage Assessment Toolkit, preliminary</t>
        </is>
      </c>
      <c r="G197" s="18" t="inlineStr">
        <is>
          <t>White text</t>
        </is>
      </c>
      <c r="H197" s="26" t="inlineStr">
        <is>
          <t>#FFFFFF</t>
        </is>
      </c>
      <c r="I197" s="18" t="inlineStr">
        <is>
          <t>—</t>
        </is>
      </c>
      <c r="J197" s="18" t="inlineStr">
        <is>
          <t>Engine (auto)</t>
        </is>
      </c>
      <c r="K197" s="5">
        <f>B197-A197</f>
        <v/>
      </c>
      <c r="L197" s="2" t="inlineStr">
        <is>
          <t>8:13.6</t>
        </is>
      </c>
    </row>
    <row r="198">
      <c r="A198" s="17" t="n">
        <v>498.91</v>
      </c>
      <c r="B198" s="17" t="n">
        <v>503.68</v>
      </c>
      <c r="C198" s="18" t="inlineStr">
        <is>
          <t>b33</t>
        </is>
      </c>
      <c r="D198" s="18" t="inlineStr">
        <is>
          <t>Camera move</t>
        </is>
      </c>
      <c r="E198" s="18" t="inlineStr">
        <is>
          <t>Camera ease back out</t>
        </is>
      </c>
      <c r="F198" s="18" t="inlineStr">
        <is>
          <t>same place</t>
        </is>
      </c>
      <c r="G198" s="18" t="inlineStr">
        <is>
          <t>—</t>
        </is>
      </c>
      <c r="H198" s="18" t="inlineStr"/>
      <c r="I198" s="18" t="inlineStr">
        <is>
          <t>—</t>
        </is>
      </c>
      <c r="J198" s="18" t="inlineStr">
        <is>
          <t>Your plan</t>
        </is>
      </c>
      <c r="K198" s="5">
        <f>B198-A198</f>
        <v/>
      </c>
      <c r="L198" s="2" t="inlineStr">
        <is>
          <t>8:18.9</t>
        </is>
      </c>
    </row>
    <row r="199">
      <c r="A199" s="17" t="n">
        <v>504.28</v>
      </c>
      <c r="B199" s="17" t="n">
        <v>514.28</v>
      </c>
      <c r="C199" s="18" t="inlineStr">
        <is>
          <t>b34</t>
        </is>
      </c>
      <c r="D199" s="18" t="inlineStr">
        <is>
          <t>Camera move</t>
        </is>
      </c>
      <c r="E199" s="18" t="inlineStr">
        <is>
          <t>Camera slow push in</t>
        </is>
      </c>
      <c r="F199" s="18" t="inlineStr">
        <is>
          <t>same place</t>
        </is>
      </c>
      <c r="G199" s="18" t="inlineStr">
        <is>
          <t>—</t>
        </is>
      </c>
      <c r="H199" s="18" t="inlineStr"/>
      <c r="I199" s="18" t="inlineStr">
        <is>
          <t>—</t>
        </is>
      </c>
      <c r="J199" s="18" t="inlineStr">
        <is>
          <t>Your plan</t>
        </is>
      </c>
      <c r="K199" s="5">
        <f>B199-A199</f>
        <v/>
      </c>
      <c r="L199" s="2" t="inlineStr">
        <is>
          <t>8:24.3</t>
        </is>
      </c>
    </row>
    <row r="200">
      <c r="A200" s="17" t="n">
        <v>514.28</v>
      </c>
      <c r="B200" s="17" t="n">
        <v>519.4</v>
      </c>
      <c r="C200" s="18" t="inlineStr">
        <is>
          <t>b34</t>
        </is>
      </c>
      <c r="D200" s="18" t="inlineStr">
        <is>
          <t>Camera move</t>
        </is>
      </c>
      <c r="E200" s="18" t="inlineStr">
        <is>
          <t>Camera ease back out</t>
        </is>
      </c>
      <c r="F200" s="18" t="inlineStr">
        <is>
          <t>same place</t>
        </is>
      </c>
      <c r="G200" s="18" t="inlineStr">
        <is>
          <t>—</t>
        </is>
      </c>
      <c r="H200" s="18" t="inlineStr"/>
      <c r="I200" s="18" t="inlineStr">
        <is>
          <t>—</t>
        </is>
      </c>
      <c r="J200" s="18" t="inlineStr">
        <is>
          <t>Your plan</t>
        </is>
      </c>
      <c r="K200" s="5">
        <f>B200-A200</f>
        <v/>
      </c>
      <c r="L200" s="2" t="inlineStr">
        <is>
          <t>8:34.3</t>
        </is>
      </c>
    </row>
    <row r="201">
      <c r="A201" s="17" t="n">
        <v>519.7</v>
      </c>
      <c r="B201" s="17" t="n">
        <v>523.8200000000001</v>
      </c>
      <c r="C201" s="18" t="inlineStr">
        <is>
          <t>b34</t>
        </is>
      </c>
      <c r="D201" s="18" t="inlineStr">
        <is>
          <t>Footage</t>
        </is>
      </c>
      <c r="E201" s="18" t="inlineStr">
        <is>
          <t>Stock video clip</t>
        </is>
      </c>
      <c r="F201" s="18" t="inlineStr">
        <is>
          <t>036.mp4</t>
        </is>
      </c>
      <c r="G201" s="18" t="inlineStr">
        <is>
          <t>Full colour (video)</t>
        </is>
      </c>
      <c r="H201" s="18" t="inlineStr"/>
      <c r="I201" s="18" t="inlineStr">
        <is>
          <t>Pexels stock video</t>
        </is>
      </c>
      <c r="J201" s="18" t="inlineStr">
        <is>
          <t>Your plan (footage beat)</t>
        </is>
      </c>
      <c r="K201" s="5">
        <f>B201-A201</f>
        <v/>
      </c>
      <c r="L201" s="2" t="inlineStr">
        <is>
          <t>8:39.7</t>
        </is>
      </c>
    </row>
    <row r="202">
      <c r="A202" s="17" t="n">
        <v>523.79</v>
      </c>
      <c r="B202" s="17" t="n">
        <v>527.91</v>
      </c>
      <c r="C202" s="18" t="inlineStr">
        <is>
          <t>b35</t>
        </is>
      </c>
      <c r="D202" s="18" t="inlineStr">
        <is>
          <t>Footage</t>
        </is>
      </c>
      <c r="E202" s="18" t="inlineStr">
        <is>
          <t>Stock video clip</t>
        </is>
      </c>
      <c r="F202" s="18" t="inlineStr">
        <is>
          <t>037.mp4</t>
        </is>
      </c>
      <c r="G202" s="18" t="inlineStr">
        <is>
          <t>Full colour (video)</t>
        </is>
      </c>
      <c r="H202" s="18" t="inlineStr"/>
      <c r="I202" s="18" t="inlineStr">
        <is>
          <t>Pexels stock video</t>
        </is>
      </c>
      <c r="J202" s="18" t="inlineStr">
        <is>
          <t>Your plan (footage beat)</t>
        </is>
      </c>
      <c r="K202" s="5">
        <f>B202-A202</f>
        <v/>
      </c>
      <c r="L202" s="2" t="inlineStr">
        <is>
          <t>8:43.8</t>
        </is>
      </c>
    </row>
    <row r="203">
      <c r="A203" s="17" t="n">
        <v>527.88</v>
      </c>
      <c r="B203" s="17" t="n">
        <v>532</v>
      </c>
      <c r="C203" s="18" t="inlineStr">
        <is>
          <t>b35</t>
        </is>
      </c>
      <c r="D203" s="18" t="inlineStr">
        <is>
          <t>Footage</t>
        </is>
      </c>
      <c r="E203" s="18" t="inlineStr">
        <is>
          <t>Stock video clip</t>
        </is>
      </c>
      <c r="F203" s="18" t="inlineStr">
        <is>
          <t>038.mp4</t>
        </is>
      </c>
      <c r="G203" s="18" t="inlineStr">
        <is>
          <t>Full colour (video)</t>
        </is>
      </c>
      <c r="H203" s="18" t="inlineStr"/>
      <c r="I203" s="18" t="inlineStr">
        <is>
          <t>Pexels stock video</t>
        </is>
      </c>
      <c r="J203" s="18" t="inlineStr">
        <is>
          <t>Your plan (footage beat)</t>
        </is>
      </c>
      <c r="K203" s="5">
        <f>B203-A203</f>
        <v/>
      </c>
      <c r="L203" s="2" t="inlineStr">
        <is>
          <t>8:47.9</t>
        </is>
      </c>
    </row>
    <row r="204">
      <c r="A204" s="17" t="n">
        <v>532.53</v>
      </c>
      <c r="B204" s="17" t="n">
        <v>534.9299999999999</v>
      </c>
      <c r="C204" s="18" t="inlineStr">
        <is>
          <t>b36</t>
        </is>
      </c>
      <c r="D204" s="18" t="inlineStr">
        <is>
          <t>Camera move</t>
        </is>
      </c>
      <c r="E204" s="18" t="inlineStr">
        <is>
          <t>Camera fly to place</t>
        </is>
      </c>
      <c r="F204" s="18" t="inlineStr">
        <is>
          <t>South Carolina</t>
        </is>
      </c>
      <c r="G204" s="18" t="inlineStr">
        <is>
          <t>—</t>
        </is>
      </c>
      <c r="H204" s="18" t="inlineStr"/>
      <c r="I204" s="18" t="inlineStr">
        <is>
          <t>—</t>
        </is>
      </c>
      <c r="J204" s="18" t="inlineStr">
        <is>
          <t>Your plan</t>
        </is>
      </c>
      <c r="K204" s="5">
        <f>B204-A204</f>
        <v/>
      </c>
      <c r="L204" s="2" t="inlineStr">
        <is>
          <t>8:52.5</t>
        </is>
      </c>
    </row>
    <row r="205">
      <c r="A205" s="17" t="n">
        <v>535.23</v>
      </c>
      <c r="B205" s="17" t="n">
        <v>545.23</v>
      </c>
      <c r="C205" s="18" t="inlineStr">
        <is>
          <t>b36</t>
        </is>
      </c>
      <c r="D205" s="18" t="inlineStr">
        <is>
          <t>Camera move</t>
        </is>
      </c>
      <c r="E205" s="18" t="inlineStr">
        <is>
          <t>Camera slow push in</t>
        </is>
      </c>
      <c r="F205" s="18" t="inlineStr">
        <is>
          <t>same place</t>
        </is>
      </c>
      <c r="G205" s="18" t="inlineStr">
        <is>
          <t>—</t>
        </is>
      </c>
      <c r="H205" s="18" t="inlineStr"/>
      <c r="I205" s="18" t="inlineStr">
        <is>
          <t>—</t>
        </is>
      </c>
      <c r="J205" s="18" t="inlineStr">
        <is>
          <t>Your plan</t>
        </is>
      </c>
      <c r="K205" s="5">
        <f>B205-A205</f>
        <v/>
      </c>
      <c r="L205" s="2" t="inlineStr">
        <is>
          <t>8:55.2</t>
        </is>
      </c>
    </row>
  </sheetData>
  <autoFilter ref="A40:L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46" customWidth="1" min="4" max="4"/>
    <col width="34" customWidth="1" min="5" max="5"/>
    <col width="40" customWidth="1" min="6" max="6"/>
    <col width="46" customWidth="1" min="7" max="7"/>
    <col width="22" customWidth="1" min="8" max="8"/>
    <col width="12" customWidth="1" min="9" max="9"/>
  </cols>
  <sheetData>
    <row r="1">
      <c r="A1" s="1" t="inlineStr">
        <is>
          <t>Every visual Weather can put on screen</t>
        </is>
      </c>
    </row>
    <row r="2">
      <c r="A2" s="2" t="inlineStr">
        <is>
          <t>Data layers live in weather/layers (drawn by weather-engine plugins); the engine (weather/intel) adds them by itself when the narration discusses them and the data exists. 'Used in v5' counts rows of the first sheet.</t>
        </is>
      </c>
    </row>
    <row r="4">
      <c r="A4" s="30" t="inlineStr">
        <is>
          <t>Visual</t>
        </is>
      </c>
      <c r="B4" s="30" t="inlineStr">
        <is>
          <t>Family</t>
        </is>
      </c>
      <c r="C4" s="30" t="inlineStr">
        <is>
          <t>Layer / type</t>
        </is>
      </c>
      <c r="D4" s="30" t="inlineStr">
        <is>
          <t>What it shows</t>
        </is>
      </c>
      <c r="E4" s="30" t="inlineStr">
        <is>
          <t>Data source</t>
        </is>
      </c>
      <c r="F4" s="30" t="inlineStr">
        <is>
          <t>Colours</t>
        </is>
      </c>
      <c r="G4" s="30" t="inlineStr">
        <is>
          <t>The engine adds it when…</t>
        </is>
      </c>
      <c r="H4" s="30" t="inlineStr">
        <is>
          <t>Event types</t>
        </is>
      </c>
      <c r="I4" s="30" t="inlineStr">
        <is>
          <t>Used in v5 (rows)</t>
        </is>
      </c>
    </row>
    <row r="5">
      <c r="A5" s="31" t="inlineStr">
        <is>
          <t>Tornado track line</t>
        </is>
      </c>
      <c r="B5" s="31" t="inlineStr">
        <is>
          <t>Map data graphic</t>
        </is>
      </c>
      <c r="C5" s="31" t="inlineStr">
        <is>
          <t>tornado_tracks</t>
        </is>
      </c>
      <c r="D5" s="31" t="inlineStr">
        <is>
          <t>each NWS-surveyed tornado path, drawn on the map</t>
        </is>
      </c>
      <c r="E5" s="31" t="inlineStr">
        <is>
          <t>NWS Damage Assessment Toolkit (preliminary)</t>
        </is>
      </c>
      <c r="F5" s="31" t="inlineStr">
        <is>
          <t>Yellow EF0 · Orange EF1 · Red-orange EF2 · Red EF3 · Magenta EF4 · Purple EF5</t>
        </is>
      </c>
      <c r="G5" s="31" t="inlineStr">
        <is>
          <t>a beat describes the tornado's path/width (tornado, severe); again where the narration returns to it</t>
        </is>
      </c>
      <c r="H5" s="31" t="inlineStr">
        <is>
          <t>tornado, severe</t>
        </is>
      </c>
      <c r="I5" s="18">
        <f>COUNTIF('This video (v5)'!$E$41:$E$205,"Tornado track line")</f>
        <v/>
      </c>
    </row>
    <row r="6">
      <c r="A6" s="31" t="inlineStr">
        <is>
          <t>Track label chip</t>
        </is>
      </c>
      <c r="B6" s="31" t="inlineStr">
        <is>
          <t>Map data graphic</t>
        </is>
      </c>
      <c r="C6" s="31" t="inlineStr">
        <is>
          <t>tornado_tracks / storm_track</t>
        </is>
      </c>
      <c r="D6" s="31" t="inlineStr">
        <is>
          <t>EF · wind · length · width (survey) or CAT · MPH · time (hurricane)</t>
        </is>
      </c>
      <c r="E6" s="31" t="inlineStr">
        <is>
          <t>NWS DAT / NHC</t>
        </is>
      </c>
      <c r="F6" s="31" t="inlineStr">
        <is>
          <t>chip in the track's colour</t>
        </is>
      </c>
      <c r="G6" s="31" t="inlineStr">
        <is>
          <t>with the track it labels</t>
        </is>
      </c>
      <c r="H6" s="31" t="inlineStr">
        <is>
          <t>tornado, hurricane</t>
        </is>
      </c>
      <c r="I6" s="18">
        <f>COUNTIF('This video (v5)'!$E$41:$E$205,"Track label chip")</f>
        <v/>
      </c>
    </row>
    <row r="7">
      <c r="A7" s="31" t="inlineStr">
        <is>
          <t>Radar loop</t>
        </is>
      </c>
      <c r="B7" s="31" t="inlineStr">
        <is>
          <t>Map loop</t>
        </is>
      </c>
      <c r="C7" s="31" t="inlineStr">
        <is>
          <t>radar</t>
        </is>
      </c>
      <c r="D7" s="31" t="inlineStr">
        <is>
          <t>NEXRAD reflectivity frames with a clock</t>
        </is>
      </c>
      <c r="E7" s="31" t="inlineStr">
        <is>
          <t>NOAA/NWS NEXRAD via IEM</t>
        </is>
      </c>
      <c r="F7" s="31" t="inlineStr">
        <is>
          <t>blue-green-yellow-red-purple dBZ scale</t>
        </is>
      </c>
      <c r="G7" s="31" t="inlineStr">
        <is>
          <t>a beat talks about radar/warnings/the storm moving; window fitted to the warning</t>
        </is>
      </c>
      <c r="H7" s="31" t="inlineStr">
        <is>
          <t>tornado, severe, hurricane, flood</t>
        </is>
      </c>
      <c r="I7" s="18">
        <f>COUNTIF('This video (v5)'!$E$41:$E$205,"Radar loop")</f>
        <v/>
      </c>
    </row>
    <row r="8">
      <c r="A8" s="31" t="inlineStr">
        <is>
          <t>Warning polygon</t>
        </is>
      </c>
      <c r="B8" s="31" t="inlineStr">
        <is>
          <t>Map data graphic</t>
        </is>
      </c>
      <c r="C8" s="31" t="inlineStr">
        <is>
          <t>warnings_archive</t>
        </is>
      </c>
      <c r="D8" s="31" t="inlineStr">
        <is>
          <t>each NWS warning area from its issue time</t>
        </is>
      </c>
      <c r="E8" s="31" t="inlineStr">
        <is>
          <t>NWS warnings via IEM archive</t>
        </is>
      </c>
      <c r="F8" s="31" t="inlineStr">
        <is>
          <t>Red tornado · Yellow severe t-storm · Green flash flood · Orange extreme wind</t>
        </is>
      </c>
      <c r="G8" s="31" t="inlineStr">
        <is>
          <t>with the radar loop</t>
        </is>
      </c>
      <c r="H8" s="31" t="inlineStr">
        <is>
          <t>tornado, severe, hurricane, flood</t>
        </is>
      </c>
      <c r="I8" s="18">
        <f>COUNTIF('This video (v5)'!$E$41:$E$205,"Warning polygon*")</f>
        <v/>
      </c>
    </row>
    <row r="9">
      <c r="A9" s="31" t="inlineStr">
        <is>
          <t>Storm reports map</t>
        </is>
      </c>
      <c r="B9" s="31" t="inlineStr">
        <is>
          <t>Map data graphic</t>
        </is>
      </c>
      <c r="C9" s="31" t="inlineStr">
        <is>
          <t>storm_reports</t>
        </is>
      </c>
      <c r="D9" s="31" t="inlineStr">
        <is>
          <t>SPC tornado / wind / hail reports popping in, with a count</t>
        </is>
      </c>
      <c r="E9" s="31" t="inlineStr">
        <is>
          <t>SPC (preliminary)</t>
        </is>
      </c>
      <c r="F9" s="31" t="inlineStr">
        <is>
          <t>Red tornado · Blue wind · Green hail</t>
        </is>
      </c>
      <c r="G9" s="31" t="inlineStr">
        <is>
          <t>a beat discusses reports and no NWS survey exists</t>
        </is>
      </c>
      <c r="H9" s="31" t="inlineStr">
        <is>
          <t>tornado, severe</t>
        </is>
      </c>
      <c r="I9" s="18">
        <f>COUNTIF('This video (v5)'!$E$41:$E$205,"Storm reports map")</f>
        <v/>
      </c>
    </row>
    <row r="10">
      <c r="A10" s="31" t="inlineStr">
        <is>
          <t>Counter</t>
        </is>
      </c>
      <c r="B10" s="31" t="inlineStr">
        <is>
          <t>Panel / chart</t>
        </is>
      </c>
      <c r="C10" s="31" t="inlineStr">
        <is>
          <t>counter</t>
        </is>
      </c>
      <c r="D10" s="31" t="inlineStr">
        <is>
          <t>a number counting up (reports, warnings issued)</t>
        </is>
      </c>
      <c r="E10" s="31" t="inlineStr">
        <is>
          <t>SPC / IEM</t>
        </is>
      </c>
      <c r="F10" s="31" t="inlineStr">
        <is>
          <t>dark panel, yellow bar</t>
        </is>
      </c>
      <c r="G10" s="31" t="inlineStr">
        <is>
          <t>the narration states a count</t>
        </is>
      </c>
      <c r="H10" s="31" t="inlineStr">
        <is>
          <t>severe, hurricane</t>
        </is>
      </c>
      <c r="I10" s="18">
        <f>COUNTIF('This video (v5)'!$E$41:$E$205,"Counter")</f>
        <v/>
      </c>
    </row>
    <row r="11">
      <c r="A11" s="31" t="inlineStr">
        <is>
          <t>SPC outlook</t>
        </is>
      </c>
      <c r="B11" s="31" t="inlineStr">
        <is>
          <t>Map data graphic</t>
        </is>
      </c>
      <c r="C11" s="31" t="inlineStr">
        <is>
          <t>spc_outlook</t>
        </is>
      </c>
      <c r="D11" s="31" t="inlineStr">
        <is>
          <t>categorical severe-weather risk areas</t>
        </is>
      </c>
      <c r="E11" s="31" t="inlineStr">
        <is>
          <t>NOAA Storm Prediction Center</t>
        </is>
      </c>
      <c r="F11" s="31" t="inlineStr">
        <is>
          <t>Green marginal → Yellow slight → Orange enhanced → Red moderate → Magenta high</t>
        </is>
      </c>
      <c r="G11" s="31" t="inlineStr">
        <is>
          <t>the narration discusses the outlook</t>
        </is>
      </c>
      <c r="H11" s="31" t="inlineStr">
        <is>
          <t>tornado, severe</t>
        </is>
      </c>
      <c r="I11" s="18">
        <f>COUNTIF('This video (v5)'!$E$41:$E$205,"SPC outlook")</f>
        <v/>
      </c>
    </row>
    <row r="12">
      <c r="A12" s="31" t="inlineStr">
        <is>
          <t>Rain outlook (ERO)</t>
        </is>
      </c>
      <c r="B12" s="31" t="inlineStr">
        <is>
          <t>Map data graphic</t>
        </is>
      </c>
      <c r="C12" s="31" t="inlineStr">
        <is>
          <t>wpc_ero</t>
        </is>
      </c>
      <c r="D12" s="31" t="inlineStr">
        <is>
          <t>risk of excessive rainfall areas</t>
        </is>
      </c>
      <c r="E12" s="31" t="inlineStr">
        <is>
          <t>NOAA Weather Prediction Center</t>
        </is>
      </c>
      <c r="F12" s="31" t="inlineStr">
        <is>
          <t>Green / Yellow / Red / Magenta</t>
        </is>
      </c>
      <c r="G12" s="31" t="inlineStr">
        <is>
          <t>the narration discusses the rain outlook</t>
        </is>
      </c>
      <c r="H12" s="31" t="inlineStr">
        <is>
          <t>hurricane, flood</t>
        </is>
      </c>
      <c r="I12" s="18">
        <f>COUNTIF('This video (v5)'!$E$41:$E$205,"Rain outlook (ERO)")</f>
        <v/>
      </c>
    </row>
    <row r="13">
      <c r="A13" s="31" t="inlineStr">
        <is>
          <t>Hurricane cone</t>
        </is>
      </c>
      <c r="B13" s="31" t="inlineStr">
        <is>
          <t>Map data graphic</t>
        </is>
      </c>
      <c r="C13" s="31" t="inlineStr">
        <is>
          <t>storm_cone</t>
        </is>
      </c>
      <c r="D13" s="31" t="inlineStr">
        <is>
          <t>5-day cone + coastal hurricane/TS watches and warnings</t>
        </is>
      </c>
      <c r="E13" s="31" t="inlineStr">
        <is>
          <t>NHC advisory archive</t>
        </is>
      </c>
      <c r="F13" s="31" t="inlineStr">
        <is>
          <t>White cone · Red/Pink/Blue/Yellow coast lines</t>
        </is>
      </c>
      <c r="G13" s="31" t="inlineStr">
        <is>
          <t>a beat mentions the cone/advisory (advisory chosen by the time said)</t>
        </is>
      </c>
      <c r="H13" s="31" t="inlineStr">
        <is>
          <t>hurricane</t>
        </is>
      </c>
      <c r="I13" s="18">
        <f>COUNTIF('This video (v5)'!$E$41:$E$205,"Hurricane cone")</f>
        <v/>
      </c>
    </row>
    <row r="14">
      <c r="A14" s="31" t="inlineStr">
        <is>
          <t>Hurricane track</t>
        </is>
      </c>
      <c r="B14" s="31" t="inlineStr">
        <is>
          <t>Map data graphic</t>
        </is>
      </c>
      <c r="C14" s="31" t="inlineStr">
        <is>
          <t>storm_track</t>
        </is>
      </c>
      <c r="D14" s="31" t="inlineStr">
        <is>
          <t>best track coloured by strength, or forecast track with points</t>
        </is>
      </c>
      <c r="E14" s="31" t="inlineStr">
        <is>
          <t>NHC best track / advisory</t>
        </is>
      </c>
      <c r="F14" s="31" t="inlineStr">
        <is>
          <t>Blue TD · Cyan TS · Yellow→Red Cat 1–5</t>
        </is>
      </c>
      <c r="G14" s="31" t="inlineStr">
        <is>
          <t>a beat describes the path or strength</t>
        </is>
      </c>
      <c r="H14" s="31" t="inlineStr">
        <is>
          <t>hurricane, flood</t>
        </is>
      </c>
      <c r="I14" s="18">
        <f>COUNTIF('This video (v5)'!$E$41:$E$205,"Hurricane track")</f>
        <v/>
      </c>
    </row>
    <row r="15">
      <c r="A15" s="31" t="inlineStr">
        <is>
          <t>Storm statistics card</t>
        </is>
      </c>
      <c r="B15" s="31" t="inlineStr">
        <is>
          <t>Panel / chart</t>
        </is>
      </c>
      <c r="C15" s="31" t="inlineStr">
        <is>
          <t>storm_stats</t>
        </is>
      </c>
      <c r="D15" s="31" t="inlineStr">
        <is>
          <t>peak strength, lowest pressure, landfall</t>
        </is>
      </c>
      <c r="E15" s="31" t="inlineStr">
        <is>
          <t>NHC HURDAT2 (final) / working best track</t>
        </is>
      </c>
      <c r="F15" s="31" t="inlineStr">
        <is>
          <t>dark panel, red bar, yellow labels</t>
        </is>
      </c>
      <c r="G15" s="31" t="inlineStr">
        <is>
          <t>a beat discusses the storm's strength</t>
        </is>
      </c>
      <c r="H15" s="31" t="inlineStr">
        <is>
          <t>hurricane</t>
        </is>
      </c>
      <c r="I15" s="18">
        <f>COUNTIF('This video (v5)'!$E$41:$E$205,"Storm statistics card")</f>
        <v/>
      </c>
    </row>
    <row r="16">
      <c r="A16" s="31" t="inlineStr">
        <is>
          <t>Satellite loop</t>
        </is>
      </c>
      <c r="B16" s="31" t="inlineStr">
        <is>
          <t>Map loop</t>
        </is>
      </c>
      <c r="C16" s="31" t="inlineStr">
        <is>
          <t>satellite_loop</t>
        </is>
      </c>
      <c r="D16" s="31" t="inlineStr">
        <is>
          <t>daily true-colour or 10-minute GOES pictures</t>
        </is>
      </c>
      <c r="E16" s="31" t="inlineStr">
        <is>
          <t>NASA GIBS (VIIRS / GOES-East)</t>
        </is>
      </c>
      <c r="F16" s="31" t="inlineStr">
        <is>
          <t>natural colour</t>
        </is>
      </c>
      <c r="G16" s="31" t="inlineStr">
        <is>
          <t>a beat talks about the storm from space</t>
        </is>
      </c>
      <c r="H16" s="31" t="inlineStr">
        <is>
          <t>hurricane, flood</t>
        </is>
      </c>
      <c r="I16" s="18">
        <f>COUNTIF('This video (v5)'!$E$41:$E$205,"Satellite loop")</f>
        <v/>
      </c>
    </row>
    <row r="17">
      <c r="A17" s="31" t="inlineStr">
        <is>
          <t>Satellite still</t>
        </is>
      </c>
      <c r="B17" s="31" t="inlineStr">
        <is>
          <t>Map loop</t>
        </is>
      </c>
      <c r="C17" s="31" t="inlineStr">
        <is>
          <t>satellite</t>
        </is>
      </c>
      <c r="D17" s="31" t="inlineStr">
        <is>
          <t>one GOES GeoColor picture</t>
        </is>
      </c>
      <c r="E17" s="31" t="inlineStr">
        <is>
          <t>NASA GIBS</t>
        </is>
      </c>
      <c r="F17" s="31" t="inlineStr">
        <is>
          <t>natural colour</t>
        </is>
      </c>
      <c r="G17" s="31" t="inlineStr">
        <is>
          <t>user plans only</t>
        </is>
      </c>
      <c r="H17" s="31" t="inlineStr">
        <is>
          <t>any</t>
        </is>
      </c>
      <c r="I17" s="18">
        <f>COUNTIF('This video (v5)'!$E$41:$E$205,"Satellite still")</f>
        <v/>
      </c>
    </row>
    <row r="18">
      <c r="A18" s="31" t="inlineStr">
        <is>
          <t>Before / after</t>
        </is>
      </c>
      <c r="B18" s="31" t="inlineStr">
        <is>
          <t>Map loop</t>
        </is>
      </c>
      <c r="C18" s="31" t="inlineStr">
        <is>
          <t>before_after</t>
        </is>
      </c>
      <c r="D18" s="31" t="inlineStr">
        <is>
          <t>two satellite days cross-faded, labelled</t>
        </is>
      </c>
      <c r="E18" s="31" t="inlineStr">
        <is>
          <t>NASA GIBS</t>
        </is>
      </c>
      <c r="F18" s="31" t="inlineStr">
        <is>
          <t>natural or false colour (water dark blue)</t>
        </is>
      </c>
      <c r="G18" s="31" t="inlineStr">
        <is>
          <t>a beat compares before and after</t>
        </is>
      </c>
      <c r="H18" s="31" t="inlineStr">
        <is>
          <t>flood, hurricane</t>
        </is>
      </c>
      <c r="I18" s="18">
        <f>COUNTIF('This video (v5)'!$E$41:$E$205,"Before / after")</f>
        <v/>
      </c>
    </row>
    <row r="19">
      <c r="A19" s="31" t="inlineStr">
        <is>
          <t>Rain map</t>
        </is>
      </c>
      <c r="B19" s="31" t="inlineStr">
        <is>
          <t>Map data graphic</t>
        </is>
      </c>
      <c r="C19" s="31" t="inlineStr">
        <is>
          <t>rain_map</t>
        </is>
      </c>
      <c r="D19" s="31" t="inlineStr">
        <is>
          <t>multi-day radar-estimated rain with an inch legend</t>
        </is>
      </c>
      <c r="E19" s="31" t="inlineStr">
        <is>
          <t>NOAA MRMS via IEM (estimate)</t>
        </is>
      </c>
      <c r="F19" s="31" t="inlineStr">
        <is>
          <t>light green → blue → purple → magenta</t>
        </is>
      </c>
      <c r="G19" s="31" t="inlineStr">
        <is>
          <t>a beat talks about radar rainfall estimates</t>
        </is>
      </c>
      <c r="H19" s="31" t="inlineStr">
        <is>
          <t>flood, hurricane</t>
        </is>
      </c>
      <c r="I19" s="18">
        <f>COUNTIF('This video (v5)'!$E$41:$E$205,"Rain map")</f>
        <v/>
      </c>
    </row>
    <row r="20">
      <c r="A20" s="31" t="inlineStr">
        <is>
          <t>Rain totals (chip or bars)</t>
        </is>
      </c>
      <c r="B20" s="31" t="inlineStr">
        <is>
          <t>Panel / chart</t>
        </is>
      </c>
      <c r="C20" s="31" t="inlineStr">
        <is>
          <t>rain_total</t>
        </is>
      </c>
      <c r="D20" s="31" t="inlineStr">
        <is>
          <t>observed rain at gauges: a chip, or a bar chart</t>
        </is>
      </c>
      <c r="E20" s="31" t="inlineStr">
        <is>
          <t>NOAA RCC-ACIS</t>
        </is>
      </c>
      <c r="F20" s="31" t="inlineStr">
        <is>
          <t>cyan bars, white numbers</t>
        </is>
      </c>
      <c r="G20" s="31" t="inlineStr">
        <is>
          <t>a beat names gauges/places with totals</t>
        </is>
      </c>
      <c r="H20" s="31" t="inlineStr">
        <is>
          <t>flood, hurricane</t>
        </is>
      </c>
      <c r="I20" s="18">
        <f>COUNTIF('This video (v5)'!$E$41:$E$205,"Rain totals")</f>
        <v/>
      </c>
    </row>
    <row r="21">
      <c r="A21" s="31" t="inlineStr">
        <is>
          <t>Record badge</t>
        </is>
      </c>
      <c r="B21" s="31" t="inlineStr">
        <is>
          <t>Panel / chart</t>
        </is>
      </c>
      <c r="C21" s="31" t="inlineStr">
        <is>
          <t>record / temp_extreme</t>
        </is>
      </c>
      <c r="D21" s="31" t="inlineStr">
        <is>
          <t>'wettest/hottest day on record', new vs old record</t>
        </is>
      </c>
      <c r="E21" s="31" t="inlineStr">
        <is>
          <t>NOAA RCC-ACIS</t>
        </is>
      </c>
      <c r="F21" s="31" t="inlineStr">
        <is>
          <t>blue rain · red heat · light blue cold</t>
        </is>
      </c>
      <c r="G21" s="31" t="inlineStr">
        <is>
          <t>a beat talks about a record</t>
        </is>
      </c>
      <c r="H21" s="31" t="inlineStr">
        <is>
          <t>flood, heat</t>
        </is>
      </c>
      <c r="I21" s="18">
        <f>COUNTIF('This video (v5)'!$E$41:$E$205,"Record badge")</f>
        <v/>
      </c>
    </row>
    <row r="22">
      <c r="A22" s="31" t="inlineStr">
        <is>
          <t>River crest + hydrograph</t>
        </is>
      </c>
      <c r="B22" s="31" t="inlineStr">
        <is>
          <t>Panel / chart</t>
        </is>
      </c>
      <c r="C22" s="31" t="inlineStr">
        <is>
          <t>river_crest</t>
        </is>
      </c>
      <c r="D22" s="31" t="inlineStr">
        <is>
          <t>a gauge's crest with flood stage, optional hydrograph</t>
        </is>
      </c>
      <c r="E22" s="31" t="inlineStr">
        <is>
          <t>USGS + NWS flood categories</t>
        </is>
      </c>
      <c r="F22" s="31" t="inlineStr">
        <is>
          <t>cyan chip; flood-stage lines</t>
        </is>
      </c>
      <c r="G22" s="31" t="inlineStr">
        <is>
          <t>a beat names a river and its crest</t>
        </is>
      </c>
      <c r="H22" s="31" t="inlineStr">
        <is>
          <t>flood</t>
        </is>
      </c>
      <c r="I22" s="18">
        <f>COUNTIF('This video (v5)'!$E$41:$E$205,"River crest")</f>
        <v/>
      </c>
    </row>
    <row r="23">
      <c r="A23" s="31" t="inlineStr">
        <is>
          <t>Event timeline</t>
        </is>
      </c>
      <c r="B23" s="31" t="inlineStr">
        <is>
          <t>Panel / chart</t>
        </is>
      </c>
      <c r="C23" s="31" t="inlineStr">
        <is>
          <t>event_timeline</t>
        </is>
      </c>
      <c r="D23" s="31" t="inlineStr">
        <is>
          <t>days with dated marks (landfall, wettest day, crest)</t>
        </is>
      </c>
      <c r="E23" s="31" t="inlineStr">
        <is>
          <t>NHC / ACIS / USGS</t>
        </is>
      </c>
      <c r="F23" s="31" t="inlineStr">
        <is>
          <t>dark panel, white/amber marks</t>
        </is>
      </c>
      <c r="G23" s="31" t="inlineStr">
        <is>
          <t>a beat says 'timeline'</t>
        </is>
      </c>
      <c r="H23" s="31" t="inlineStr">
        <is>
          <t>flood, hurricane</t>
        </is>
      </c>
      <c r="I23" s="18">
        <f>COUNTIF('This video (v5)'!$E$41:$E$205,"Event timeline")</f>
        <v/>
      </c>
    </row>
    <row r="24">
      <c r="A24" s="31" t="inlineStr">
        <is>
          <t>Explainer card</t>
        </is>
      </c>
      <c r="B24" s="31" t="inlineStr">
        <is>
          <t>Text card</t>
        </is>
      </c>
      <c r="C24" s="31" t="inlineStr">
        <is>
          <t>explainer</t>
        </is>
      </c>
      <c r="D24" s="31" t="inlineStr">
        <is>
          <t>fixed NWS definitions (watch vs warning)</t>
        </is>
      </c>
      <c r="E24" s="31" t="inlineStr">
        <is>
          <t>NWS (weather.gov)</t>
        </is>
      </c>
      <c r="F24" s="31" t="inlineStr">
        <is>
          <t>Yellow WATCH · Red WARNING</t>
        </is>
      </c>
      <c r="G24" s="31" t="inlineStr">
        <is>
          <t>a beat compares a watch and a warning</t>
        </is>
      </c>
      <c r="H24" s="31" t="inlineStr">
        <is>
          <t>tornado, severe</t>
        </is>
      </c>
      <c r="I24" s="18">
        <f>COUNTIF('This video (v5)'!$E$41:$E$205,"Explainer card")</f>
        <v/>
      </c>
    </row>
    <row r="25">
      <c r="A25" s="31" t="inlineStr">
        <is>
          <t>Headline lower-third</t>
        </is>
      </c>
      <c r="B25" s="31" t="inlineStr">
        <is>
          <t>Text card</t>
        </is>
      </c>
      <c r="C25" s="31" t="inlineStr">
        <is>
          <t>headline (tp_lower in Teamplate)</t>
        </is>
      </c>
      <c r="D25" s="31" t="inlineStr">
        <is>
          <t>kicker / title / date</t>
        </is>
      </c>
      <c r="E25" s="31" t="inlineStr">
        <is>
          <t>— (words only)</t>
        </is>
      </c>
      <c r="F25" s="31" t="inlineStr">
        <is>
          <t>Red news · Blue forecast · Amber post-event kicker</t>
        </is>
      </c>
      <c r="G25" s="31" t="inlineStr">
        <is>
          <t>the first map beat, when the plan has no title card there</t>
        </is>
      </c>
      <c r="H25" s="31" t="inlineStr">
        <is>
          <t>any</t>
        </is>
      </c>
      <c r="I25" s="18">
        <f>COUNTIF('This video (v5)'!$E$41:$E$205,"Headline lower-third")</f>
        <v/>
      </c>
    </row>
    <row r="26">
      <c r="A26" s="31" t="inlineStr">
        <is>
          <t>Place label</t>
        </is>
      </c>
      <c r="B26" s="31" t="inlineStr">
        <is>
          <t>Map label</t>
        </is>
      </c>
      <c r="C26" s="31" t="inlineStr">
        <is>
          <t>place_label (tp_place in Teamplate)</t>
        </is>
      </c>
      <c r="D26" s="31" t="inlineStr">
        <is>
          <t>a dot and a place name</t>
        </is>
      </c>
      <c r="E26" s="31" t="inlineStr">
        <is>
          <t>US county outlines / city list</t>
        </is>
      </c>
      <c r="F26" s="31" t="inlineStr">
        <is>
          <t>white dot, orange tag (Teamplate)</t>
        </is>
      </c>
      <c r="G26" s="31" t="inlineStr">
        <is>
          <t>a county/city with coordinates is named; long empty beats</t>
        </is>
      </c>
      <c r="H26" s="31" t="inlineStr">
        <is>
          <t>tornado, severe, flood</t>
        </is>
      </c>
      <c r="I26" s="18">
        <f>COUNTIF('This video (v5)'!$E$41:$E$205,"Place label (dot + name)")</f>
        <v/>
      </c>
    </row>
    <row r="27">
      <c r="A27" s="31" t="inlineStr">
        <is>
          <t>Landfall marker</t>
        </is>
      </c>
      <c r="B27" s="31" t="inlineStr">
        <is>
          <t>Map label</t>
        </is>
      </c>
      <c r="C27" s="31" t="inlineStr">
        <is>
          <t>place_label</t>
        </is>
      </c>
      <c r="D27" s="31" t="inlineStr">
        <is>
          <t>'LANDFALL' at the best-track landfall point</t>
        </is>
      </c>
      <c r="E27" s="31" t="inlineStr">
        <is>
          <t>NHC HURDAT2</t>
        </is>
      </c>
      <c r="F27" s="31" t="inlineStr">
        <is>
          <t>white dot + label</t>
        </is>
      </c>
      <c r="G27" s="31" t="inlineStr">
        <is>
          <t>a beat says it came ashore</t>
        </is>
      </c>
      <c r="H27" s="31" t="inlineStr">
        <is>
          <t>hurricane</t>
        </is>
      </c>
      <c r="I27" s="18">
        <f>COUNTIF('This video (v5)'!$E$41:$E$205,"Landfall marker")</f>
        <v/>
      </c>
    </row>
    <row r="28">
      <c r="A28" s="31" t="inlineStr">
        <is>
          <t>Legend panel</t>
        </is>
      </c>
      <c r="B28" s="31" t="inlineStr">
        <is>
          <t>Legend / key</t>
        </is>
      </c>
      <c r="C28" s="31" t="inlineStr">
        <is>
          <t>alert_legend</t>
        </is>
      </c>
      <c r="D28" s="31" t="inlineStr">
        <is>
          <t>colour key of the shapes on the map</t>
        </is>
      </c>
      <c r="E28" s="31" t="inlineStr">
        <is>
          <t>—</t>
        </is>
      </c>
      <c r="F28" s="31" t="inlineStr">
        <is>
          <t>dark panel with swatches</t>
        </is>
      </c>
      <c r="G28" s="31" t="inlineStr">
        <is>
          <t>with warnings, outlooks, tracks</t>
        </is>
      </c>
      <c r="H28" s="31" t="inlineStr">
        <is>
          <t>all</t>
        </is>
      </c>
      <c r="I28" s="18">
        <f>COUNTIF('This video (v5)'!$E$41:$E$205,"Legend panel")</f>
        <v/>
      </c>
    </row>
    <row r="29">
      <c r="A29" s="31" t="inlineStr">
        <is>
          <t>Radar colour scale</t>
        </is>
      </c>
      <c r="B29" s="31" t="inlineStr">
        <is>
          <t>Legend / key</t>
        </is>
      </c>
      <c r="C29" s="31" t="inlineStr">
        <is>
          <t>radar_legend</t>
        </is>
      </c>
      <c r="D29" s="31" t="inlineStr">
        <is>
          <t>LIGHT – HEAVY – HAIL bar</t>
        </is>
      </c>
      <c r="E29" s="31" t="inlineStr">
        <is>
          <t>—</t>
        </is>
      </c>
      <c r="F29" s="31" t="inlineStr">
        <is>
          <t>dBZ colours</t>
        </is>
      </c>
      <c r="G29" s="31" t="inlineStr">
        <is>
          <t>with the radar loop</t>
        </is>
      </c>
      <c r="H29" s="31" t="inlineStr">
        <is>
          <t>all</t>
        </is>
      </c>
      <c r="I29" s="18">
        <f>COUNTIF('This video (v5)'!$E$41:$E$205,"Radar colour scale")</f>
        <v/>
      </c>
    </row>
    <row r="30">
      <c r="A30" s="31" t="inlineStr">
        <is>
          <t>Source line</t>
        </is>
      </c>
      <c r="B30" s="31" t="inlineStr">
        <is>
          <t>Source line</t>
        </is>
      </c>
      <c r="C30" s="31" t="inlineStr">
        <is>
          <t>source_line</t>
        </is>
      </c>
      <c r="D30" s="31" t="inlineStr">
        <is>
          <t>names the data and its time on screen</t>
        </is>
      </c>
      <c r="E30" s="31" t="inlineStr">
        <is>
          <t>—</t>
        </is>
      </c>
      <c r="F30" s="31" t="inlineStr">
        <is>
          <t>white text</t>
        </is>
      </c>
      <c r="G30" s="31" t="inlineStr">
        <is>
          <t>every beat with data</t>
        </is>
      </c>
      <c r="H30" s="31" t="inlineStr">
        <is>
          <t>all</t>
        </is>
      </c>
      <c r="I30" s="18">
        <f>COUNTIF('This video (v5)'!$E$41:$E$205,"Source line (bottom text)")</f>
        <v/>
      </c>
    </row>
    <row r="31">
      <c r="A31" s="31" t="inlineStr">
        <is>
          <t>Forecast strip</t>
        </is>
      </c>
      <c r="B31" s="31" t="inlineStr">
        <is>
          <t>Panel / chart</t>
        </is>
      </c>
      <c r="C31" s="31" t="inlineStr">
        <is>
          <t>forecast_strip</t>
        </is>
      </c>
      <c r="D31" s="31" t="inlineStr">
        <is>
          <t>5–7 day highs/lows/icons</t>
        </is>
      </c>
      <c r="E31" s="31" t="inlineStr">
        <is>
          <t>NWS API</t>
        </is>
      </c>
      <c r="F31" s="31" t="inlineStr">
        <is>
          <t>dark panel, white numbers</t>
        </is>
      </c>
      <c r="G31" s="31" t="inlineStr">
        <is>
          <t>a current forecast story</t>
        </is>
      </c>
      <c r="H31" s="31" t="inlineStr">
        <is>
          <t>forecast</t>
        </is>
      </c>
      <c r="I31" s="18">
        <f>COUNTIF('This video (v5)'!$E$41:$E$205,"Forecast strip")</f>
        <v/>
      </c>
    </row>
    <row r="32">
      <c r="A32" s="31" t="inlineStr">
        <is>
          <t>Temperature marker</t>
        </is>
      </c>
      <c r="B32" s="31" t="inlineStr">
        <is>
          <t>Map data graphic</t>
        </is>
      </c>
      <c r="C32" s="31" t="inlineStr">
        <is>
          <t>temp_marker</t>
        </is>
      </c>
      <c r="D32" s="31" t="inlineStr">
        <is>
          <t>a city's high/low/now on the map</t>
        </is>
      </c>
      <c r="E32" s="31" t="inlineStr">
        <is>
          <t>NWS API</t>
        </is>
      </c>
      <c r="F32" s="31" t="inlineStr">
        <is>
          <t>white chip</t>
        </is>
      </c>
      <c r="G32" s="31" t="inlineStr">
        <is>
          <t>forecast plans</t>
        </is>
      </c>
      <c r="H32" s="31" t="inlineStr">
        <is>
          <t>forecast</t>
        </is>
      </c>
      <c r="I32" s="18">
        <f>COUNTIF('This video (v5)'!$E$41:$E$205,"Temperature marker")</f>
        <v/>
      </c>
    </row>
    <row r="33">
      <c r="A33" s="31" t="inlineStr">
        <is>
          <t>Current conditions card</t>
        </is>
      </c>
      <c r="B33" s="31" t="inlineStr">
        <is>
          <t>Panel / chart</t>
        </is>
      </c>
      <c r="C33" s="31" t="inlineStr">
        <is>
          <t>now_card</t>
        </is>
      </c>
      <c r="D33" s="31" t="inlineStr">
        <is>
          <t>temperature now + sky</t>
        </is>
      </c>
      <c r="E33" s="31" t="inlineStr">
        <is>
          <t>NWS observations</t>
        </is>
      </c>
      <c r="F33" s="31" t="inlineStr">
        <is>
          <t>dark panel</t>
        </is>
      </c>
      <c r="G33" s="31" t="inlineStr">
        <is>
          <t>a current forecast story</t>
        </is>
      </c>
      <c r="H33" s="31" t="inlineStr">
        <is>
          <t>forecast</t>
        </is>
      </c>
      <c r="I33" s="18">
        <f>COUNTIF('This video (v5)'!$E$41:$E$205,"Current conditions card")</f>
        <v/>
      </c>
    </row>
    <row r="34">
      <c r="A34" s="31" t="inlineStr">
        <is>
          <t>Active alerts map</t>
        </is>
      </c>
      <c r="B34" s="31" t="inlineStr">
        <is>
          <t>Map data graphic</t>
        </is>
      </c>
      <c r="C34" s="31" t="inlineStr">
        <is>
          <t>alert_area</t>
        </is>
      </c>
      <c r="D34" s="31" t="inlineStr">
        <is>
          <t>today's NWS alert areas</t>
        </is>
      </c>
      <c r="E34" s="31" t="inlineStr">
        <is>
          <t>NWS API</t>
        </is>
      </c>
      <c r="F34" s="31" t="inlineStr">
        <is>
          <t>NWS alert colours</t>
        </is>
      </c>
      <c r="G34" s="31" t="inlineStr">
        <is>
          <t>a current story with alerts</t>
        </is>
      </c>
      <c r="H34" s="31" t="inlineStr">
        <is>
          <t>forecast</t>
        </is>
      </c>
      <c r="I34" s="18">
        <f>COUNTIF('This video (v5)'!$E$41:$E$205,"Active alerts map")</f>
        <v/>
      </c>
    </row>
    <row r="35">
      <c r="A35" s="31" t="inlineStr">
        <is>
          <t>Temperature trend</t>
        </is>
      </c>
      <c r="B35" s="31" t="inlineStr">
        <is>
          <t>Panel / chart</t>
        </is>
      </c>
      <c r="C35" s="31" t="inlineStr">
        <is>
          <t>temp_trend</t>
        </is>
      </c>
      <c r="D35" s="31" t="inlineStr">
        <is>
          <t>the week's highs and lows as a line chart</t>
        </is>
      </c>
      <c r="E35" s="31" t="inlineStr">
        <is>
          <t>NWS API</t>
        </is>
      </c>
      <c r="F35" s="31" t="inlineStr">
        <is>
          <t>red highs, blue lows</t>
        </is>
      </c>
      <c r="G35" s="31" t="inlineStr">
        <is>
          <t>forecast plans</t>
        </is>
      </c>
      <c r="H35" s="31" t="inlineStr">
        <is>
          <t>forecast</t>
        </is>
      </c>
      <c r="I35" s="18">
        <f>COUNTIF('This video (v5)'!$E$41:$E$205,"Temperature trend")</f>
        <v/>
      </c>
    </row>
    <row r="36">
      <c r="A36" s="31" t="inlineStr">
        <is>
          <t>Wind streaks</t>
        </is>
      </c>
      <c r="B36" s="31" t="inlineStr">
        <is>
          <t>Map data graphic</t>
        </is>
      </c>
      <c r="C36" s="31" t="inlineStr">
        <is>
          <t>wind_flow</t>
        </is>
      </c>
      <c r="D36" s="31" t="inlineStr">
        <is>
          <t>moving streaks the way the wind blows</t>
        </is>
      </c>
      <c r="E36" s="31" t="inlineStr">
        <is>
          <t>NWS forecast</t>
        </is>
      </c>
      <c r="F36" s="31" t="inlineStr">
        <is>
          <t>white streaks</t>
        </is>
      </c>
      <c r="G36" s="31" t="inlineStr">
        <is>
          <t>forecast plans</t>
        </is>
      </c>
      <c r="H36" s="31" t="inlineStr">
        <is>
          <t>forecast</t>
        </is>
      </c>
      <c r="I36" s="18">
        <f>COUNTIF('This video (v5)'!$E$41:$E$205,"Wind streaks")</f>
        <v/>
      </c>
    </row>
    <row r="37">
      <c r="A37" s="31" t="inlineStr">
        <is>
          <t>Footage credit chip</t>
        </is>
      </c>
      <c r="B37" s="31" t="inlineStr">
        <is>
          <t>Text card</t>
        </is>
      </c>
      <c r="C37" s="31" t="inlineStr">
        <is>
          <t>footage_credit</t>
        </is>
      </c>
      <c r="D37" s="31" t="inlineStr">
        <is>
          <t>credit of an approved event clip</t>
        </is>
      </c>
      <c r="E37" s="31" t="inlineStr">
        <is>
          <t>—</t>
        </is>
      </c>
      <c r="F37" s="31" t="inlineStr">
        <is>
          <t>dark chip</t>
        </is>
      </c>
      <c r="G37" s="31" t="inlineStr">
        <is>
          <t>approved event footage</t>
        </is>
      </c>
      <c r="H37" s="31" t="inlineStr">
        <is>
          <t>any</t>
        </is>
      </c>
      <c r="I37" s="18">
        <f>COUNTIF('This video (v5)'!$E$41:$E$205,"Footage credit chip")</f>
        <v/>
      </c>
    </row>
    <row r="38">
      <c r="A38" s="31" t="inlineStr">
        <is>
          <t>Keyword title card</t>
        </is>
      </c>
      <c r="B38" s="31" t="inlineStr">
        <is>
          <t>Text card</t>
        </is>
      </c>
      <c r="C38" s="31" t="inlineStr">
        <is>
          <t>tp_title (Teamplate)</t>
        </is>
      </c>
      <c r="D38" s="31" t="inlineStr">
        <is>
          <t>big words with a highlighted keyword</t>
        </is>
      </c>
      <c r="E38" s="31" t="inlineStr">
        <is>
          <t>your plan's title</t>
        </is>
      </c>
      <c r="F38" s="31" t="inlineStr">
        <is>
          <t>white, red highlight</t>
        </is>
      </c>
      <c r="G38" s="31" t="inlineStr">
        <is>
          <t>your plan's hud_title in Teamplate style</t>
        </is>
      </c>
      <c r="H38" s="31" t="inlineStr">
        <is>
          <t>any</t>
        </is>
      </c>
      <c r="I38" s="18">
        <f>COUNTIF('This video (v5)'!$E$41:$E$205,"Keyword title card")</f>
        <v/>
      </c>
    </row>
    <row r="39">
      <c r="A39" s="31" t="inlineStr">
        <is>
          <t>Place tag (top)</t>
        </is>
      </c>
      <c r="B39" s="31" t="inlineStr">
        <is>
          <t>Text card</t>
        </is>
      </c>
      <c r="C39" s="31" t="inlineStr">
        <is>
          <t>tp_tag (Teamplate)</t>
        </is>
      </c>
      <c r="D39" s="31" t="inlineStr">
        <is>
          <t>where the map is</t>
        </is>
      </c>
      <c r="E39" s="31" t="inlineStr">
        <is>
          <t>—</t>
        </is>
      </c>
      <c r="F39" s="31" t="inlineStr">
        <is>
          <t>black tag</t>
        </is>
      </c>
      <c r="G39" s="31" t="inlineStr">
        <is>
          <t>Teamplate style</t>
        </is>
      </c>
      <c r="H39" s="31" t="inlineStr">
        <is>
          <t>any</t>
        </is>
      </c>
      <c r="I39" s="18">
        <f>COUNTIF('This video (v5)'!$E$41:$E$205,"Place tag (top)")</f>
        <v/>
      </c>
    </row>
    <row r="40">
      <c r="A40" s="31" t="inlineStr">
        <is>
          <t>Big stat card</t>
        </is>
      </c>
      <c r="B40" s="31" t="inlineStr">
        <is>
          <t>Text card</t>
        </is>
      </c>
      <c r="C40" s="31" t="inlineStr">
        <is>
          <t>tp_stat (Teamplate) / stat (Hybrid)</t>
        </is>
      </c>
      <c r="D40" s="31" t="inlineStr">
        <is>
          <t>one number with a label</t>
        </is>
      </c>
      <c r="E40" s="31" t="inlineStr">
        <is>
          <t>your plan</t>
        </is>
      </c>
      <c r="F40" s="31" t="inlineStr">
        <is>
          <t>white / red</t>
        </is>
      </c>
      <c r="G40" s="31" t="inlineStr">
        <is>
          <t>your plan's stat layers</t>
        </is>
      </c>
      <c r="H40" s="31" t="inlineStr">
        <is>
          <t>any</t>
        </is>
      </c>
      <c r="I40" s="18">
        <f>COUNTIF('This video (v5)'!$E$41:$E$205,"Big stat card")</f>
        <v/>
      </c>
    </row>
    <row r="41">
      <c r="A41" s="31" t="inlineStr">
        <is>
          <t>Dip to dark</t>
        </is>
      </c>
      <c r="B41" s="31" t="inlineStr">
        <is>
          <t>Transition / effect</t>
        </is>
      </c>
      <c r="C41" s="31" t="inlineStr">
        <is>
          <t>tp_dip (Teamplate)</t>
        </is>
      </c>
      <c r="D41" s="31" t="inlineStr">
        <is>
          <t>short dark dip into a title card</t>
        </is>
      </c>
      <c r="E41" s="31" t="inlineStr">
        <is>
          <t>—</t>
        </is>
      </c>
      <c r="F41" s="31" t="inlineStr">
        <is>
          <t>black</t>
        </is>
      </c>
      <c r="G41" s="31" t="inlineStr">
        <is>
          <t>Teamplate style</t>
        </is>
      </c>
      <c r="H41" s="31" t="inlineStr">
        <is>
          <t>any</t>
        </is>
      </c>
      <c r="I41" s="18">
        <f>COUNTIF('This video (v5)'!$E$41:$E$205,"Dip to dark (transition)")</f>
        <v/>
      </c>
    </row>
    <row r="42">
      <c r="A42" s="31" t="inlineStr">
        <is>
          <t>Vignette</t>
        </is>
      </c>
      <c r="B42" s="31" t="inlineStr">
        <is>
          <t>Transition / effect</t>
        </is>
      </c>
      <c r="C42" s="31" t="inlineStr">
        <is>
          <t>tp_vignette (Teamplate)</t>
        </is>
      </c>
      <c r="D42" s="31" t="inlineStr">
        <is>
          <t>dark frame edges</t>
        </is>
      </c>
      <c r="E42" s="31" t="inlineStr">
        <is>
          <t>—</t>
        </is>
      </c>
      <c r="F42" s="31" t="inlineStr">
        <is>
          <t>black edges</t>
        </is>
      </c>
      <c r="G42" s="31" t="inlineStr">
        <is>
          <t>Teamplate style</t>
        </is>
      </c>
      <c r="H42" s="31" t="inlineStr">
        <is>
          <t>any</t>
        </is>
      </c>
      <c r="I42" s="18">
        <f>COUNTIF('This video (v5)'!$E$41:$E$205,"Vignette (dark edges)")</f>
        <v/>
      </c>
    </row>
    <row r="43">
      <c r="A43" s="31" t="inlineStr">
        <is>
          <t>Hybrid map layers</t>
        </is>
      </c>
      <c r="B43" s="31" t="inlineStr">
        <is>
          <t>Map label</t>
        </is>
      </c>
      <c r="C43" s="31" t="inlineStr">
        <is>
          <t>marker, zone_label, fill, line, caption</t>
        </is>
      </c>
      <c r="D43" s="31" t="inlineStr">
        <is>
          <t>your plan's own markers, zones, routes, captions</t>
        </is>
      </c>
      <c r="E43" s="31" t="inlineStr">
        <is>
          <t>your plan</t>
        </is>
      </c>
      <c r="F43" s="31" t="inlineStr">
        <is>
          <t>plan colours</t>
        </is>
      </c>
      <c r="G43" s="31" t="inlineStr">
        <is>
          <t>your plan</t>
        </is>
      </c>
      <c r="H43" s="31" t="inlineStr">
        <is>
          <t>any</t>
        </is>
      </c>
      <c r="I43" s="18">
        <f>COUNTIF('This video (v5)'!$E$41:$E$205,"Hybrid map layer")</f>
        <v/>
      </c>
    </row>
    <row r="44">
      <c r="A44" s="31" t="inlineStr">
        <is>
          <t>Stock video clip</t>
        </is>
      </c>
      <c r="B44" s="31" t="inlineStr">
        <is>
          <t>Footage</t>
        </is>
      </c>
      <c r="C44" s="31" t="inlineStr">
        <is>
          <t>footage beat / Teamplate cutaway</t>
        </is>
      </c>
      <c r="D44" s="31" t="inlineStr">
        <is>
          <t>full-screen b-roll</t>
        </is>
      </c>
      <c r="E44" s="31" t="inlineStr">
        <is>
          <t>Pexels (or your library)</t>
        </is>
      </c>
      <c r="F44" s="31" t="inlineStr">
        <is>
          <t>full colour</t>
        </is>
      </c>
      <c r="G44" s="31" t="inlineStr">
        <is>
          <t>footage beats; Teamplate cutaways ≤ 40%</t>
        </is>
      </c>
      <c r="H44" s="31" t="inlineStr">
        <is>
          <t>any</t>
        </is>
      </c>
      <c r="I44" s="18">
        <f>COUNTIF('This video (v5)'!$E$41:$E$205,"Stock video clip")</f>
        <v/>
      </c>
    </row>
    <row r="45">
      <c r="A45" s="31" t="inlineStr">
        <is>
          <t>Camera fly / start</t>
        </is>
      </c>
      <c r="B45" s="31" t="inlineStr">
        <is>
          <t>Camera move</t>
        </is>
      </c>
      <c r="C45" s="31" t="inlineStr">
        <is>
          <t>start, fly_to</t>
        </is>
      </c>
      <c r="D45" s="31" t="inlineStr">
        <is>
          <t>the map moves to a place</t>
        </is>
      </c>
      <c r="E45" s="31" t="inlineStr">
        <is>
          <t>your plan</t>
        </is>
      </c>
      <c r="F45" s="31" t="inlineStr">
        <is>
          <t>—</t>
        </is>
      </c>
      <c r="G45" s="31" t="inlineStr">
        <is>
          <t>your plan's camera targets</t>
        </is>
      </c>
      <c r="H45" s="31" t="inlineStr">
        <is>
          <t>any</t>
        </is>
      </c>
      <c r="I45" s="18">
        <f>COUNTIF('This video (v5)'!$E$41:$E$205,"Camera fly to place")+COUNTIF('This video (v5)'!$E$41:$E$205,"Camera start")</f>
        <v/>
      </c>
    </row>
    <row r="46">
      <c r="A46" s="31" t="inlineStr">
        <is>
          <t>Camera slow push in / ease out</t>
        </is>
      </c>
      <c r="B46" s="31" t="inlineStr">
        <is>
          <t>Camera move</t>
        </is>
      </c>
      <c r="C46" s="31" t="inlineStr">
        <is>
          <t>push_in, pull_back</t>
        </is>
      </c>
      <c r="D46" s="31" t="inlineStr">
        <is>
          <t>gentle zoom so the map never stands still</t>
        </is>
      </c>
      <c r="E46" s="31" t="inlineStr">
        <is>
          <t>—</t>
        </is>
      </c>
      <c r="F46" s="31" t="inlineStr">
        <is>
          <t>—</t>
        </is>
      </c>
      <c r="G46" s="31" t="inlineStr">
        <is>
          <t>motion pass: any still map stretch over 6 s</t>
        </is>
      </c>
      <c r="H46" s="31" t="inlineStr">
        <is>
          <t>any</t>
        </is>
      </c>
      <c r="I46" s="18">
        <f>COUNTIF('This video (v5)'!$E$41:$E$205,"Camera slow push in")+COUNTIF('This video (v5)'!$E$41:$E$205,"Camera ease back out")</f>
        <v/>
      </c>
    </row>
    <row r="48">
      <c r="A48" s="3" t="inlineStr">
        <is>
          <t>Visuals available</t>
        </is>
      </c>
      <c r="B48" s="3">
        <f>COUNTA(A5:A46)</f>
        <v/>
      </c>
    </row>
    <row r="49">
      <c r="A49" s="3" t="inlineStr">
        <is>
          <t>Of them used in v5</t>
        </is>
      </c>
      <c r="B49" s="3">
        <f>COUNTIF(I5:I46,"&gt;0")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2026-10-14T10:30:14Z</dcterms:created>
  <dcterms:modified xmlns:dcterms="http://purl.org/dc/terms/" xmlns:xsi="http://www.w3.org/2001/XMLSchema-instance" xsi:type="dcterms:W3CDTF">2026-10-14T10:30:14Z</dcterms:modified>
</cp:coreProperties>
</file>